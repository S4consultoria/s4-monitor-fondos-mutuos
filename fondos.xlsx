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4consultoria.sharepoint.com/sites/Inversiones/Shared Documents/17. Herramientas/3. Estrategias de Inversión/"/>
    </mc:Choice>
  </mc:AlternateContent>
  <xr:revisionPtr revIDLastSave="135" documentId="11_8997D8AB535EC82463EB76A28FEE66DCFFB26C67" xr6:coauthVersionLast="47" xr6:coauthVersionMax="47" xr10:uidLastSave="{A99D5C2E-2A46-4924-ACBA-A56FA7F48D11}"/>
  <bookViews>
    <workbookView xWindow="-108" yWindow="-108" windowWidth="23256" windowHeight="13896" xr2:uid="{00000000-000D-0000-FFFF-FFFF00000000}"/>
  </bookViews>
  <sheets>
    <sheet name="Fondos Mutuos Perú 2026" sheetId="1" r:id="rId1"/>
  </sheets>
  <definedNames>
    <definedName name="_xlnm._FilterDatabase" localSheetId="0" hidden="1">'Fondos Mutuos Perú 2026'!$A$1:$AC$208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08" i="1" l="1"/>
  <c r="AB208" i="1"/>
  <c r="AC207" i="1"/>
  <c r="AB207" i="1"/>
  <c r="AC206" i="1"/>
  <c r="AB206" i="1"/>
  <c r="AC205" i="1"/>
  <c r="AB205" i="1"/>
  <c r="AC204" i="1"/>
  <c r="AB204" i="1"/>
  <c r="AC203" i="1"/>
  <c r="AB203" i="1"/>
  <c r="AC202" i="1"/>
  <c r="AB202" i="1"/>
  <c r="AC201" i="1"/>
  <c r="AB201" i="1"/>
  <c r="AC200" i="1"/>
  <c r="AB200" i="1"/>
  <c r="AC199" i="1"/>
  <c r="AB199" i="1"/>
  <c r="AC198" i="1"/>
  <c r="AB198" i="1"/>
  <c r="AC197" i="1"/>
  <c r="AB197" i="1"/>
  <c r="AC196" i="1"/>
  <c r="AB196" i="1"/>
  <c r="AC195" i="1"/>
  <c r="AB195" i="1"/>
  <c r="AC194" i="1"/>
  <c r="AB194" i="1"/>
  <c r="AC193" i="1"/>
  <c r="AB193" i="1"/>
  <c r="AC192" i="1"/>
  <c r="AB192" i="1"/>
  <c r="AC191" i="1"/>
  <c r="AB191" i="1"/>
  <c r="AC190" i="1"/>
  <c r="AB190" i="1"/>
  <c r="AC189" i="1"/>
  <c r="AB189" i="1"/>
  <c r="AC188" i="1"/>
  <c r="AB188" i="1"/>
  <c r="AC187" i="1"/>
  <c r="AB187" i="1"/>
  <c r="AC186" i="1"/>
  <c r="AB186" i="1"/>
  <c r="AC185" i="1"/>
  <c r="AB185" i="1"/>
  <c r="AC184" i="1"/>
  <c r="AB184" i="1"/>
  <c r="AC183" i="1"/>
  <c r="AB183" i="1"/>
  <c r="AC182" i="1"/>
  <c r="AB182" i="1"/>
  <c r="AC181" i="1"/>
  <c r="AB181" i="1"/>
  <c r="AC180" i="1"/>
  <c r="AB180" i="1"/>
  <c r="AC179" i="1"/>
  <c r="AB179" i="1"/>
  <c r="AC178" i="1"/>
  <c r="AB178" i="1"/>
  <c r="AC177" i="1"/>
  <c r="AB177" i="1"/>
  <c r="AC176" i="1"/>
  <c r="AB176" i="1"/>
  <c r="AC175" i="1"/>
  <c r="AB175" i="1"/>
  <c r="AC174" i="1"/>
  <c r="AB174" i="1"/>
  <c r="AC173" i="1"/>
  <c r="AB173" i="1"/>
  <c r="AC172" i="1"/>
  <c r="AB172" i="1"/>
  <c r="AC171" i="1"/>
  <c r="AB171" i="1"/>
  <c r="AC170" i="1"/>
  <c r="AB170" i="1"/>
  <c r="AC169" i="1"/>
  <c r="AB169" i="1"/>
  <c r="AC168" i="1"/>
  <c r="AB168" i="1"/>
  <c r="AC167" i="1"/>
  <c r="AB167" i="1"/>
  <c r="AC166" i="1"/>
  <c r="AB166" i="1"/>
  <c r="AC165" i="1"/>
  <c r="AB165" i="1"/>
  <c r="AC164" i="1"/>
  <c r="AB164" i="1"/>
  <c r="AC163" i="1"/>
  <c r="AB163" i="1"/>
  <c r="AC162" i="1"/>
  <c r="AB162" i="1"/>
  <c r="AC161" i="1"/>
  <c r="AB161" i="1"/>
  <c r="AC160" i="1"/>
  <c r="AB160" i="1"/>
  <c r="AC159" i="1"/>
  <c r="AB159" i="1"/>
  <c r="AC158" i="1"/>
  <c r="AB158" i="1"/>
  <c r="AC157" i="1"/>
  <c r="AB157" i="1"/>
  <c r="AC156" i="1"/>
  <c r="AB156" i="1"/>
  <c r="AC155" i="1"/>
  <c r="AB155" i="1"/>
  <c r="AC154" i="1"/>
  <c r="AB154" i="1"/>
  <c r="AC153" i="1"/>
  <c r="AB153" i="1"/>
  <c r="AC152" i="1"/>
  <c r="AB152" i="1"/>
  <c r="AC151" i="1"/>
  <c r="AB151" i="1"/>
  <c r="AC150" i="1"/>
  <c r="AB150" i="1"/>
  <c r="AC149" i="1"/>
  <c r="AB149" i="1"/>
  <c r="AC148" i="1"/>
  <c r="AB148" i="1"/>
  <c r="AC147" i="1"/>
  <c r="AB147" i="1"/>
  <c r="AC146" i="1"/>
  <c r="AB146" i="1"/>
  <c r="AC145" i="1"/>
  <c r="AB145" i="1"/>
  <c r="AC144" i="1"/>
  <c r="AB144" i="1"/>
  <c r="AC143" i="1"/>
  <c r="AB143" i="1"/>
  <c r="AC142" i="1"/>
  <c r="AB142" i="1"/>
  <c r="AC141" i="1"/>
  <c r="AB141" i="1"/>
  <c r="AC140" i="1"/>
  <c r="AB140" i="1"/>
  <c r="AC139" i="1"/>
  <c r="AB139" i="1"/>
  <c r="AC138" i="1"/>
  <c r="AB138" i="1"/>
  <c r="AC137" i="1"/>
  <c r="AB137" i="1"/>
  <c r="AC136" i="1"/>
  <c r="AB136" i="1"/>
  <c r="AC135" i="1"/>
  <c r="AB135" i="1"/>
  <c r="AC134" i="1"/>
  <c r="AB134" i="1"/>
  <c r="AC133" i="1"/>
  <c r="AB133" i="1"/>
  <c r="AC132" i="1"/>
  <c r="AB132" i="1"/>
  <c r="AC131" i="1"/>
  <c r="AB131" i="1"/>
  <c r="AC130" i="1"/>
  <c r="AB130" i="1"/>
  <c r="AC129" i="1"/>
  <c r="AB129" i="1"/>
  <c r="AC128" i="1"/>
  <c r="AB128" i="1"/>
  <c r="AC127" i="1"/>
  <c r="AB127" i="1"/>
  <c r="AC126" i="1"/>
  <c r="AB126" i="1"/>
  <c r="AC125" i="1"/>
  <c r="AB125" i="1"/>
  <c r="AC124" i="1"/>
  <c r="AB124" i="1"/>
  <c r="AC123" i="1"/>
  <c r="AB123" i="1"/>
  <c r="AC122" i="1"/>
  <c r="AB122" i="1"/>
  <c r="AC121" i="1"/>
  <c r="AB121" i="1"/>
  <c r="AC120" i="1"/>
  <c r="AB120" i="1"/>
  <c r="AC119" i="1"/>
  <c r="AB119" i="1"/>
  <c r="AC118" i="1"/>
  <c r="AB118" i="1"/>
  <c r="AC117" i="1"/>
  <c r="AB117" i="1"/>
  <c r="AC116" i="1"/>
  <c r="AB116" i="1"/>
  <c r="AC115" i="1"/>
  <c r="AB115" i="1"/>
  <c r="AC114" i="1"/>
  <c r="AB114" i="1"/>
  <c r="AC113" i="1"/>
  <c r="AB113" i="1"/>
  <c r="AC112" i="1"/>
  <c r="AB112" i="1"/>
  <c r="AC111" i="1"/>
  <c r="AB111" i="1"/>
  <c r="AC110" i="1"/>
  <c r="AB110" i="1"/>
  <c r="AC109" i="1"/>
  <c r="AB109" i="1"/>
  <c r="AC108" i="1"/>
  <c r="AB108" i="1"/>
  <c r="AC107" i="1"/>
  <c r="AB107" i="1"/>
  <c r="AC106" i="1"/>
  <c r="AB106" i="1"/>
  <c r="AC105" i="1"/>
  <c r="AB105" i="1"/>
  <c r="AC104" i="1"/>
  <c r="AB104" i="1"/>
  <c r="AC103" i="1"/>
  <c r="AB103" i="1"/>
  <c r="AC102" i="1"/>
  <c r="AB102" i="1"/>
  <c r="AC101" i="1"/>
  <c r="AB101" i="1"/>
  <c r="AC100" i="1"/>
  <c r="AB100" i="1"/>
  <c r="AC99" i="1"/>
  <c r="AB99" i="1"/>
  <c r="AC98" i="1"/>
  <c r="AB98" i="1"/>
  <c r="AC97" i="1"/>
  <c r="AB97" i="1"/>
  <c r="AC96" i="1"/>
  <c r="AB96" i="1"/>
  <c r="AC95" i="1"/>
  <c r="AB95" i="1"/>
  <c r="AC94" i="1"/>
  <c r="AB94" i="1"/>
  <c r="AC93" i="1"/>
  <c r="AB93" i="1"/>
  <c r="AC92" i="1"/>
  <c r="AB92" i="1"/>
  <c r="AC91" i="1"/>
  <c r="AB91" i="1"/>
  <c r="AC90" i="1"/>
  <c r="AB90" i="1"/>
  <c r="AC89" i="1"/>
  <c r="AB89" i="1"/>
  <c r="AC88" i="1"/>
  <c r="AB88" i="1"/>
  <c r="AC87" i="1"/>
  <c r="AB87" i="1"/>
  <c r="AC86" i="1"/>
  <c r="AB86" i="1"/>
  <c r="AC85" i="1"/>
  <c r="AB85" i="1"/>
  <c r="AC84" i="1"/>
  <c r="AB84" i="1"/>
  <c r="AC83" i="1"/>
  <c r="AB83" i="1"/>
  <c r="AC82" i="1"/>
  <c r="AB82" i="1"/>
  <c r="AC81" i="1"/>
  <c r="AB81" i="1"/>
  <c r="AC80" i="1"/>
  <c r="AB80" i="1"/>
  <c r="AC79" i="1"/>
  <c r="AB79" i="1"/>
  <c r="AC78" i="1"/>
  <c r="AB78" i="1"/>
  <c r="AC77" i="1"/>
  <c r="AB77" i="1"/>
  <c r="AC76" i="1"/>
  <c r="AB76" i="1"/>
  <c r="AC75" i="1"/>
  <c r="AB75" i="1"/>
  <c r="AC74" i="1"/>
  <c r="AB74" i="1"/>
  <c r="AC73" i="1"/>
  <c r="AB73" i="1"/>
  <c r="AC72" i="1"/>
  <c r="AB72" i="1"/>
  <c r="AC71" i="1"/>
  <c r="AB71" i="1"/>
  <c r="AC70" i="1"/>
  <c r="AB70" i="1"/>
  <c r="AC69" i="1"/>
  <c r="AB69" i="1"/>
  <c r="AC68" i="1"/>
  <c r="AB68" i="1"/>
  <c r="AC67" i="1"/>
  <c r="AB67" i="1"/>
  <c r="AC66" i="1"/>
  <c r="AB66" i="1"/>
  <c r="AC65" i="1"/>
  <c r="AB65" i="1"/>
  <c r="AC64" i="1"/>
  <c r="AB64" i="1"/>
  <c r="AC63" i="1"/>
  <c r="AB63" i="1"/>
  <c r="AC62" i="1"/>
  <c r="AB62" i="1"/>
  <c r="AC61" i="1"/>
  <c r="AB61" i="1"/>
  <c r="AC60" i="1"/>
  <c r="AB60" i="1"/>
  <c r="AC59" i="1"/>
  <c r="AB59" i="1"/>
  <c r="AC58" i="1"/>
  <c r="AB58" i="1"/>
  <c r="AC57" i="1"/>
  <c r="AB57" i="1"/>
  <c r="AC56" i="1"/>
  <c r="AB56" i="1"/>
  <c r="AC55" i="1"/>
  <c r="AB55" i="1"/>
  <c r="AC54" i="1"/>
  <c r="AB54" i="1"/>
  <c r="AC53" i="1"/>
  <c r="AB53" i="1"/>
  <c r="AC52" i="1"/>
  <c r="AB52" i="1"/>
  <c r="AC51" i="1"/>
  <c r="AB51" i="1"/>
  <c r="AC50" i="1"/>
  <c r="AB50" i="1"/>
  <c r="AC49" i="1"/>
  <c r="AB49" i="1"/>
  <c r="AC48" i="1"/>
  <c r="AB48" i="1"/>
  <c r="AC47" i="1"/>
  <c r="AB47" i="1"/>
  <c r="AC46" i="1"/>
  <c r="AB46" i="1"/>
  <c r="AC45" i="1"/>
  <c r="AB45" i="1"/>
  <c r="AC44" i="1"/>
  <c r="AB44" i="1"/>
  <c r="AC43" i="1"/>
  <c r="AB43" i="1"/>
  <c r="AC42" i="1"/>
  <c r="AB42" i="1"/>
  <c r="AC41" i="1"/>
  <c r="AB41" i="1"/>
  <c r="AC40" i="1"/>
  <c r="AB40" i="1"/>
  <c r="AC39" i="1"/>
  <c r="AB39" i="1"/>
  <c r="AC38" i="1"/>
  <c r="AB38" i="1"/>
  <c r="AC37" i="1"/>
  <c r="AB37" i="1"/>
  <c r="AC36" i="1"/>
  <c r="AB36" i="1"/>
  <c r="AC35" i="1"/>
  <c r="AB35" i="1"/>
  <c r="AC34" i="1"/>
  <c r="AB34" i="1"/>
  <c r="AC33" i="1"/>
  <c r="AB33" i="1"/>
  <c r="AC32" i="1"/>
  <c r="AB32" i="1"/>
  <c r="AC31" i="1"/>
  <c r="AB31" i="1"/>
  <c r="AC30" i="1"/>
  <c r="AB30" i="1"/>
  <c r="AC29" i="1"/>
  <c r="AB29" i="1"/>
  <c r="AC28" i="1"/>
  <c r="AB28" i="1"/>
  <c r="AC27" i="1"/>
  <c r="AB27" i="1"/>
  <c r="AC26" i="1"/>
  <c r="AB26" i="1"/>
  <c r="AC25" i="1"/>
  <c r="AB25" i="1"/>
  <c r="AC24" i="1"/>
  <c r="AB24" i="1"/>
  <c r="AC23" i="1"/>
  <c r="AB23" i="1"/>
  <c r="AC22" i="1"/>
  <c r="AB22" i="1"/>
  <c r="AC21" i="1"/>
  <c r="AB21" i="1"/>
  <c r="AC20" i="1"/>
  <c r="AB20" i="1"/>
  <c r="AC19" i="1"/>
  <c r="AB19" i="1"/>
  <c r="AC18" i="1"/>
  <c r="AB18" i="1"/>
  <c r="AC17" i="1"/>
  <c r="AB17" i="1"/>
  <c r="AC16" i="1"/>
  <c r="AB16" i="1"/>
  <c r="AC15" i="1"/>
  <c r="AB15" i="1"/>
  <c r="AC14" i="1"/>
  <c r="AB14" i="1"/>
  <c r="AC13" i="1"/>
  <c r="AB13" i="1"/>
  <c r="AC12" i="1"/>
  <c r="AB12" i="1"/>
  <c r="AC11" i="1"/>
  <c r="AB11" i="1"/>
  <c r="AC10" i="1"/>
  <c r="AB10" i="1"/>
  <c r="AC9" i="1"/>
  <c r="AB9" i="1"/>
  <c r="AC8" i="1"/>
  <c r="AB8" i="1"/>
  <c r="AC7" i="1"/>
  <c r="AB7" i="1"/>
  <c r="AC6" i="1"/>
  <c r="AB6" i="1"/>
  <c r="AC5" i="1"/>
  <c r="AB5" i="1"/>
  <c r="AC4" i="1"/>
  <c r="AB4" i="1"/>
  <c r="AC3" i="1"/>
  <c r="AB3" i="1"/>
  <c r="AC2" i="1"/>
  <c r="A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tc={7a681c5b-e791-4087-8c1c-eff8c60d07cf}</author>
    <author>tc={2e1a6d92-aa18-47b8-bd7b-4a98643ebd69}</author>
    <author>tc={38660d67-d6d1-4e59-b57e-3add9f323b3c}</author>
    <author>tc={fbfb5d33-9802-449f-bdd6-71db4174745d}</author>
  </authors>
  <commentList>
    <comment ref="A121" authorId="0" shapeId="0" xr:uid="{7A681C5B-E791-4087-8C1C-EFF8C60D07C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FdF Sura Moderado Soles - Serie B</t>
      </text>
    </comment>
    <comment ref="A122" authorId="1" shapeId="0" xr:uid="{2E1A6D92-AA18-47B8-BD7B-4A98643EBD6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FdF Sura Moderado Soles - Serie A</t>
      </text>
    </comment>
    <comment ref="A123" authorId="2" shapeId="0" xr:uid="{38660D67-D6D1-4E59-B57E-3ADD9F323B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FDF Sura Conservador Soles - Serie B</t>
      </text>
    </comment>
    <comment ref="A124" authorId="3" shapeId="0" xr:uid="{FBFB5D33-9802-449F-BDD6-71DB417474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FDF Sura Conservador Soles - Serie A</t>
      </text>
    </comment>
  </commentList>
</comments>
</file>

<file path=xl/sharedStrings.xml><?xml version="1.0" encoding="utf-8"?>
<sst xmlns="http://schemas.openxmlformats.org/spreadsheetml/2006/main" count="2324" uniqueCount="289">
  <si>
    <t>Nombre del Fondo</t>
  </si>
  <si>
    <t>Administradora</t>
  </si>
  <si>
    <t>Moneda</t>
  </si>
  <si>
    <t>Asset Class</t>
  </si>
  <si>
    <t>Estrategia</t>
  </si>
  <si>
    <t>Sub Estrategia / Calidad</t>
  </si>
  <si>
    <t>Mercado</t>
  </si>
  <si>
    <t>Plazo</t>
  </si>
  <si>
    <t>Estructura</t>
  </si>
  <si>
    <t>Tipo de Fondo SMV</t>
  </si>
  <si>
    <t>Comisión Unificada</t>
  </si>
  <si>
    <t>Inicio Operaciones</t>
  </si>
  <si>
    <t>YTD 2026</t>
  </si>
  <si>
    <t>Patrimonio S/.</t>
  </si>
  <si>
    <t>Rent Promedio</t>
  </si>
  <si>
    <t>Nivel de Riesgo</t>
  </si>
  <si>
    <t>ANDEAN CROWN SAF S.A.C.-AC CASH PLUS S/ SERIE B</t>
  </si>
  <si>
    <t>ANDEAN CROWN SAF S.A.C.</t>
  </si>
  <si>
    <t>PEN</t>
  </si>
  <si>
    <t>Caja y Efectivo</t>
  </si>
  <si>
    <t>Liquidez</t>
  </si>
  <si>
    <t>Investment Grade</t>
  </si>
  <si>
    <t>Latam</t>
  </si>
  <si>
    <t>Corto</t>
  </si>
  <si>
    <t>Directo</t>
  </si>
  <si>
    <t xml:space="preserve">CORTO PLAZO </t>
  </si>
  <si>
    <t/>
  </si>
  <si>
    <t>ANDEAN CROWN SAF S.A.C.-Andean Crown Cash Plus $ SERIE A</t>
  </si>
  <si>
    <t>USD</t>
  </si>
  <si>
    <t>Global</t>
  </si>
  <si>
    <t>ANDEAN CROWN SAF S.A.C.-AC CASH PLUS S/ SERIE A</t>
  </si>
  <si>
    <t>ANDEAN CROWN SAF S.A.C.-Andean Crown Cash Plus $ SERIE B</t>
  </si>
  <si>
    <t>BBVA CASH SOLES BBVA SAF</t>
  </si>
  <si>
    <t>BBVA SAF</t>
  </si>
  <si>
    <t>Caja y efectivo</t>
  </si>
  <si>
    <t xml:space="preserve">INST. DEUDA CORTO PLAZO </t>
  </si>
  <si>
    <t>BBVA TESORERIA SOLES FMIV BBVA SAF</t>
  </si>
  <si>
    <t>BBVA CASH DOLARES BBVA SAF</t>
  </si>
  <si>
    <t>BBVA SUPER $ 20 BBVA SAF</t>
  </si>
  <si>
    <t xml:space="preserve"> INST DEUDA DURACIÓN FLEXIBL </t>
  </si>
  <si>
    <t>FdF BBVA DINAMICO GLOBAL S/ BBVA SAF</t>
  </si>
  <si>
    <t>Renta Variable</t>
  </si>
  <si>
    <t>Valor (Defensivo)</t>
  </si>
  <si>
    <t>Blend</t>
  </si>
  <si>
    <t>Largo</t>
  </si>
  <si>
    <t>Fondo de Fondos</t>
  </si>
  <si>
    <t>FONDO DE FONDOS</t>
  </si>
  <si>
    <t>FdF BBVA Equilibrado Global S/ BBVA SAF</t>
  </si>
  <si>
    <t>Renta Fija</t>
  </si>
  <si>
    <t>Mixto</t>
  </si>
  <si>
    <t>FdF BBVA Dinamico Global $ BBVA SAF</t>
  </si>
  <si>
    <t>FdF BBVA Equilibrado Global $ BBVA SAF</t>
  </si>
  <si>
    <t>BBVA RENTA MED. PLAZO S/. BBVA SAF</t>
  </si>
  <si>
    <t>Deuda Corporativa</t>
  </si>
  <si>
    <t>Mediano</t>
  </si>
  <si>
    <t xml:space="preserve">INST. DEUDA MEDIANO PLAZO </t>
  </si>
  <si>
    <t>BBVA RENTA CORTO PLAZO S/. BBVA SAF</t>
  </si>
  <si>
    <t>FdF BBVA CONSERV GLO S/ BBVA SAF</t>
  </si>
  <si>
    <t>FdF BBVA Renta Fija Mcdo Emerg BBVA SAF</t>
  </si>
  <si>
    <t>No Desarrollados</t>
  </si>
  <si>
    <t>BBVA DISTRIBUTIVO $ II BBVA SAF</t>
  </si>
  <si>
    <t>BBVA Distributivo $ FMIV BBVA SAF</t>
  </si>
  <si>
    <t>BBVA RENTA CORTO PLAZO $ BBVA SAF</t>
  </si>
  <si>
    <t>BBVA RENTA MED. PLAZO $ BBVA SAF</t>
  </si>
  <si>
    <t>FF BBVA DIST HIGH YIELD EEUU BBVA SAF</t>
  </si>
  <si>
    <t>High Yield</t>
  </si>
  <si>
    <t>US</t>
  </si>
  <si>
    <t>FF BBVA DIST EST GLOBAL BBVA SAF</t>
  </si>
  <si>
    <t>FdF BBVA CONSERV GLO $ BBVA SAF</t>
  </si>
  <si>
    <t>FdeF BBVA Generacion de Flujo BBVA SAF</t>
  </si>
  <si>
    <t>FF BBVA ACC GLOB MILLENNIALS BBVA SAF</t>
  </si>
  <si>
    <t>Crecimiento (Agresivo)</t>
  </si>
  <si>
    <t>FdF BBVA Acciones Glob Tecnol BBVA SAF</t>
  </si>
  <si>
    <t>Tech</t>
  </si>
  <si>
    <t>FF BBVA ACCIONES GLOB RE BBVA SAF</t>
  </si>
  <si>
    <t>FdF BBVA ACC MARCAS GLOB BBVA SAF</t>
  </si>
  <si>
    <t>BDC DEUDA DIVERSIFICADA FMIV BD CAPITAL SAF</t>
  </si>
  <si>
    <t>BD CAPITAL SAF</t>
  </si>
  <si>
    <t>Alternativos</t>
  </si>
  <si>
    <t>Crédito Privado</t>
  </si>
  <si>
    <t>Private Credit</t>
  </si>
  <si>
    <t xml:space="preserve">FLEXIBLE </t>
  </si>
  <si>
    <t>BLUM SAF-Blum Capital Global FM SERIE A</t>
  </si>
  <si>
    <t>BLUM SAF</t>
  </si>
  <si>
    <t>BLUM SAF-Blum Capital Global FM SERIE B</t>
  </si>
  <si>
    <t>BLUM SAF-BLUM USA 500 FDF SERIE A</t>
  </si>
  <si>
    <t>BLUM SAF-BLUM USA 500 FDF SERIE B</t>
  </si>
  <si>
    <t>BLUM SAF-Blum Renta Global FM SERIE A</t>
  </si>
  <si>
    <t>FLEXIBLE</t>
  </si>
  <si>
    <t>BLUM SAF-Blum Renta Global FM SERIE B</t>
  </si>
  <si>
    <t>BLUM MONEY MARKET $ FM BLUM SAF</t>
  </si>
  <si>
    <t>Blum Cash FM BLUM SAF</t>
  </si>
  <si>
    <t>BLUM SAF-BLUM DYNAMIC MACRO STRAT SERIE A</t>
  </si>
  <si>
    <t>Otras Estrategias</t>
  </si>
  <si>
    <t>Hedge Fund</t>
  </si>
  <si>
    <t>BLUM SAF-BLUM DYNAMIC MACRO STRAT SERIE B</t>
  </si>
  <si>
    <t>BTG PACTUAL PERU SAF-FdF BTG RENTA INTER I SERIE A</t>
  </si>
  <si>
    <t>BTG PACTUAL PERU SAF</t>
  </si>
  <si>
    <t>CORIL CASH CONSERVADOR S/ CORIL SAF</t>
  </si>
  <si>
    <t>CORIL SAF</t>
  </si>
  <si>
    <t>CREDICORP CAPITAL ACCIONES CREDICORP SAF</t>
  </si>
  <si>
    <t>CREDICORP SAF</t>
  </si>
  <si>
    <t>RENTA VARIABLE</t>
  </si>
  <si>
    <t>FdeF CC Acciones Innovacion CREDICORP SAF</t>
  </si>
  <si>
    <t>CREDI. ACC. LATAM-PACIFICO CREDICORP SAF</t>
  </si>
  <si>
    <t>CREDICORP ACCIONES GLOBAL CREDICORP SAF</t>
  </si>
  <si>
    <t>CREDICORP ACCIONES EEUU CREDICORP SAF</t>
  </si>
  <si>
    <t>CREDICORP ACCIONES ASIA CREDICORP SAF</t>
  </si>
  <si>
    <t>FdF Cred. Tendencias Globales CREDICORP SAF</t>
  </si>
  <si>
    <t>CREDICORP ACCIONES EUROPA CREDICORP SAF</t>
  </si>
  <si>
    <t>Desarrollados</t>
  </si>
  <si>
    <t>FdeF CRED ACC SECTOR SEGURID CREDICORP SAF</t>
  </si>
  <si>
    <t>FdF CC Acciones China CREDICORP SAF</t>
  </si>
  <si>
    <t>CC DEUDA CORPORATIVA SOLES CREDICORP SAF</t>
  </si>
  <si>
    <t>CC CONSERV. MED. PLAZO S/. CREDICORP SAF</t>
  </si>
  <si>
    <t>CRED. CONSER. CORTO PLAZO S/ CREDICORP SAF</t>
  </si>
  <si>
    <t>FF CC RENTA GLOBAL INV GRADE CREDICORP SAF</t>
  </si>
  <si>
    <t>CC RENTA DOLARES 3Y VII CREDICORP SAF</t>
  </si>
  <si>
    <t>Fondo de F. Cred. Cons. Global CREDICORP SAF</t>
  </si>
  <si>
    <t>CRED. CONSER. CORTO PLAZO $ CREDICORP SAF</t>
  </si>
  <si>
    <t>FdF CC Duración Objetivo Latam CREDICORP SAF</t>
  </si>
  <si>
    <t>CRED DEUDA CORP LATAM HY CREDICORP SAF</t>
  </si>
  <si>
    <t>CREDICORP DEUDA FLOTANTE CREDICORP SAF</t>
  </si>
  <si>
    <t>CC RENTA DOLARES 4Y VI CREDICORP SAF</t>
  </si>
  <si>
    <t>CC RENTA DOLARES 3Y VI CREDICORP SAF</t>
  </si>
  <si>
    <t>FONDO D FONDOS DEUDA LATAM CREDICORP SAF</t>
  </si>
  <si>
    <t>CREDICORP CONSER. MED. PLA. $ CREDICORP SAF</t>
  </si>
  <si>
    <t>FdeF Cred Renta Estrategica CREDICORP SAF</t>
  </si>
  <si>
    <t>CREDICORP DEUDA HIGH YIELD CREDICORP SAF</t>
  </si>
  <si>
    <t>CC RENTA DOLARES 2Y II CREDICORP SAF</t>
  </si>
  <si>
    <t>Credicorp Activos Preferentes CREDICORP SAF</t>
  </si>
  <si>
    <t>CRED CAP. INVESTMENT GRADE CREDICORP SAF</t>
  </si>
  <si>
    <t>FdF Credicorp Deuda Flexible CREDICORP SAF</t>
  </si>
  <si>
    <t>Bonos Soberanos</t>
  </si>
  <si>
    <t>CRED. DEUDA GLOBAL CREDICORP SAF</t>
  </si>
  <si>
    <t>CRED. CRECIMIENTO VCS CREDICORP SAF</t>
  </si>
  <si>
    <t xml:space="preserve">RENTA MIXTA CRECIMIENTO </t>
  </si>
  <si>
    <t>CRED. EQUILIBRADO CREDICORP SAF</t>
  </si>
  <si>
    <t xml:space="preserve"> RENTA MIXTA BALANCEADO </t>
  </si>
  <si>
    <t>CRED. MODERADO VCS CREDICORP SAF</t>
  </si>
  <si>
    <t xml:space="preserve">RENTA MIXTA MODERADO </t>
  </si>
  <si>
    <t>CRED. MODERADO CREDICORP SAF</t>
  </si>
  <si>
    <t>CRED CAP VISION III CREDICORP SAF</t>
  </si>
  <si>
    <t>FDF CRED CAP VISION II CREDICORP SAF</t>
  </si>
  <si>
    <t>FdF Credicorp Impacto Sostenib CREDICORP SAF</t>
  </si>
  <si>
    <t>CRED CAP VISION I CREDICORP SAF</t>
  </si>
  <si>
    <t>CRED. EQUILIBRADO VCS CREDICORP SAF</t>
  </si>
  <si>
    <t>CRED. CONSERVAD. LIQUIDEZ S/ CREDICORP SAF</t>
  </si>
  <si>
    <t>CRED. CONSERVADOR LIQUIDEZ $ CREDICORP SAF</t>
  </si>
  <si>
    <t>CRED CAP FACTORING S/ CREDICORP SAF</t>
  </si>
  <si>
    <t>Factoring</t>
  </si>
  <si>
    <t>CC FACTORING $ CREDICORP SAF</t>
  </si>
  <si>
    <t>VAN ECK EL DORADO PERU ETF EL DORADO SAF</t>
  </si>
  <si>
    <t>EL DORADO SAF</t>
  </si>
  <si>
    <t>FONDO BURSÁTIL - ETF</t>
  </si>
  <si>
    <t>EL DORADO SAF-FdF ED ACC GLOB OPT SERIE A</t>
  </si>
  <si>
    <t>EL DORADO SAF-FdF ED ACC GLOB OPT SERIE B</t>
  </si>
  <si>
    <t>PERU SOBERANO VAN ECK ID ETF EL DORADO SAF</t>
  </si>
  <si>
    <t>EL DORADO SAF-FdF El Dorado Instr Deuda EEUU SERIE I</t>
  </si>
  <si>
    <t>EL DORADO SAF-FdF El Dorado Instr Deuda EEUU SERIE A</t>
  </si>
  <si>
    <t>EL DORADO SAF-FdF El Dorado Instr Deuda EEUU SERIE B</t>
  </si>
  <si>
    <t>EL DORADO SAF-FF Creci Inmobiliario EEUU SERIE A</t>
  </si>
  <si>
    <t>Real Estate</t>
  </si>
  <si>
    <t>Inmuebles US</t>
  </si>
  <si>
    <t>EL DORADO SAF-FF Creci Inmobiliario EEUU SERIE B</t>
  </si>
  <si>
    <t>FARO CAPITAL SAFI-FARO RENTA VARIABLE GLOBAL SERIE A</t>
  </si>
  <si>
    <t>FARO CAPITAL SAFI</t>
  </si>
  <si>
    <t>FARO CAPITAL SAFI-FARO RENTA VARIABLE GLOBAL SERIE B</t>
  </si>
  <si>
    <t>FARO CAPITAL SAFI-FARO RENTA VARIABLE GLOBAL SERIE C</t>
  </si>
  <si>
    <t>FdF Faro Renta Variable Global FARO CAPITAL SAFI</t>
  </si>
  <si>
    <t>FARO CAPITAL SAFI-FARO CORTO PLAZO DOLARES SERIE B</t>
  </si>
  <si>
    <t>FARO CAPITAL SAFI-FARO DEUDA GLOBAL SERIE A</t>
  </si>
  <si>
    <t>FARO CAPITAL SAFI-FARO DEUDA GLOBAL SERIE B</t>
  </si>
  <si>
    <t>FARO CAPITAL SAFI-FARO DEUDA GLOBAL SERIE C</t>
  </si>
  <si>
    <t>FARO CAPITAL SAFI-FARO CORTO PLAZO DOLARES SERIE A</t>
  </si>
  <si>
    <t>FARO CAPITAL SAFI-FARO CAPITAL FLEXIBLE SERIE C</t>
  </si>
  <si>
    <t>SURA ACCIONES FONDOS SURA SAF</t>
  </si>
  <si>
    <t>FONDOS SURA SAF</t>
  </si>
  <si>
    <t>SURA ACC. NORTEAMERICANAS FONDOS SURA SAF</t>
  </si>
  <si>
    <t>SURA ACCIONES GLOBALES FONDOS SURA SAF</t>
  </si>
  <si>
    <t>FONDOS SURA SAF-SURA SELECCION GLOBAL I SERIE B</t>
  </si>
  <si>
    <t>FONDOS SURA SAF-SURA SELECCION GLOBAL I SERIE A</t>
  </si>
  <si>
    <t>SURA RENTA SOLES FONDOS SURA SAF</t>
  </si>
  <si>
    <t>SURA DEUDA SOBER. DISTRIB. S/ FONDOS SURA SAF</t>
  </si>
  <si>
    <t xml:space="preserve">INST DEUDA DURACIÓN FLEXIBL </t>
  </si>
  <si>
    <t>SURA PLAZO DEFINIDO S/ VII FONDOS SURA SAF</t>
  </si>
  <si>
    <t>FONDOS SURA SAF-SURA BONOS GLOBALES SERIE A</t>
  </si>
  <si>
    <t>SURA PLAZO DEFINIDO S/ VIII FONDOS SURA SAF</t>
  </si>
  <si>
    <t>SURA PLAZO DEFINIDO S/ IX FONDOS SURA SAF</t>
  </si>
  <si>
    <t>FONDOS SURA SAF-SURA BONOS GLOBALES SERIE B</t>
  </si>
  <si>
    <t>SURA CORTO PLAZO SOLES FONDOS SURA SAF</t>
  </si>
  <si>
    <t>SURA CORTO PLAZO DOLARES FONDOS SURA SAF</t>
  </si>
  <si>
    <t>FdF SURA RENTA DOLARES FONDOS SURA SAF</t>
  </si>
  <si>
    <t>FONDOS SURA SAF-SURA CAPITAL ESTRATEGICO II SERIE B</t>
  </si>
  <si>
    <t>FONDOS SURA SAF-SURA CAPITAL ESTRATEGICO II SERIE A</t>
  </si>
  <si>
    <t>FONDOS SURA SAF-SURA CAPITAL ESTRATEGICO I SERIE B</t>
  </si>
  <si>
    <t>FONDOS SURA SAF-SURA CAPITAL ESTRATEGICO I SERIE A</t>
  </si>
  <si>
    <t>SURA ULTRA CASH SOLES FONDOS SURA SAF</t>
  </si>
  <si>
    <t>SURA ULTRA CASH DOLARES FONDOS SURA SAF</t>
  </si>
  <si>
    <t>FdF Sura Corto Plazo Global FONDOS SURA SAF</t>
  </si>
  <si>
    <t>SURA DEUDA PRIV. GLOBAL FONDOS SURA SAF</t>
  </si>
  <si>
    <t>Sura Real Estate Global Income FONDOS SURA SAF</t>
  </si>
  <si>
    <t>Inmuebles</t>
  </si>
  <si>
    <t>Inmuebles Global</t>
  </si>
  <si>
    <t>INDEPENDIENTE SAF-Flip Panda Zen FdF FMIV SERIE A</t>
  </si>
  <si>
    <t>INDEPENDIENTE SAF</t>
  </si>
  <si>
    <t>Mediano Plazo</t>
  </si>
  <si>
    <t>INDEPENDIENTE SAF-Flip Panda Zen FdF FMIV SERIE D</t>
  </si>
  <si>
    <t>Flip Cobra Achorada FdF FMIV INDEPENDIENTE SAF</t>
  </si>
  <si>
    <t>Flip Búho Consciente FM INDEPENDIENTE SAF</t>
  </si>
  <si>
    <t>INTERFONDO-IF LIBRE DISPONIBILIDAD S/. SERIE B</t>
  </si>
  <si>
    <t>INTERFONDO</t>
  </si>
  <si>
    <t>INTERFONDO-IF LIBRE DISPONIBILIDAD S/. SERIE A</t>
  </si>
  <si>
    <t>INTERFONDO-IF LIBRE DISPONIBILIDAD SERIE B</t>
  </si>
  <si>
    <t>INTERFONDO-IF LIBRE DISPONIBILIDAD SERIE C</t>
  </si>
  <si>
    <t>INTERFONDO-IF LIBRE DISPONIBILIDAD SERIE A</t>
  </si>
  <si>
    <t>INTERFONDO-IF LIBRE DISPONIBILIDAD S/. SERIE C</t>
  </si>
  <si>
    <t>FdF IF Inversión EEUU FMIV INTERFONDO</t>
  </si>
  <si>
    <t>IF ACCIONES INTERFONDO</t>
  </si>
  <si>
    <t>FdeF IF Global Thematics INTERFONDO</t>
  </si>
  <si>
    <t>IF INVERSION GLOBAL INTERFONDO</t>
  </si>
  <si>
    <t>FDF IF ENFOQ MERC FRONT FMIV INTERFONDO</t>
  </si>
  <si>
    <t>FdF IF Enfoque Global INTERFONDO</t>
  </si>
  <si>
    <t>IF Enfoque LATAM INTERFONDO</t>
  </si>
  <si>
    <t>FDF IF INVERSIÓN INDIA FMIV INTERFONDO</t>
  </si>
  <si>
    <t>IF MEDIANO PLAZO SOLES INTERFONDO</t>
  </si>
  <si>
    <t>IF MEDIANO PLAZO INTERFONDO</t>
  </si>
  <si>
    <t>FDF IF 2 REND GLOB SOLES FMIV INTERFONDO</t>
  </si>
  <si>
    <t>FDF IF 40 REND GLOBAL 360 FMIV INTERFONDO</t>
  </si>
  <si>
    <t>FDF IF 3 REND GLOB SOLES FMIV INTERFONDO</t>
  </si>
  <si>
    <t>FDF IF 41 REND GLOBAL 360 FMIV INTERFONDO</t>
  </si>
  <si>
    <t>FdF IF 42 REND GLOB 330 INTERFONDO</t>
  </si>
  <si>
    <t>FdF IF 4 REND GLOB S/ INTERFONDO</t>
  </si>
  <si>
    <t>IF MIXTO BALANCEADO INTERFONDO</t>
  </si>
  <si>
    <t>IF INVERSION FLEXIBLE INTERFONDO</t>
  </si>
  <si>
    <t>INTERFONDO-IF Portafolio Dinamico Soles SERIE B</t>
  </si>
  <si>
    <t>INTERFONDO-IF OPORTUNIDAD SOLES SERIE C</t>
  </si>
  <si>
    <t>INTERFONDO-IF OPORTUNIDAD SOLES SERIE B</t>
  </si>
  <si>
    <t>INTERFONDO-IF Portafolio Dinamico Soles SERIE A</t>
  </si>
  <si>
    <t>INTERFONDO-IF OPORTUNIDAD SOLES SERIE A</t>
  </si>
  <si>
    <t>INTERFONDO-IF OPORTUNIDAD SERIE C</t>
  </si>
  <si>
    <t>IF Portafolio Dinámico INTERFONDO</t>
  </si>
  <si>
    <t>IF Futuro Seguro S/ INTERFONDO</t>
  </si>
  <si>
    <t>INTERFONDO-IF OPORTUNIDAD SERIE B</t>
  </si>
  <si>
    <t>INTERFONDO-IF OPORTUNIDAD SERIE A</t>
  </si>
  <si>
    <t>IF Futuro Seguro $ INTERFONDO</t>
  </si>
  <si>
    <t>FdF IF RealState Student Accom INTERFONDO</t>
  </si>
  <si>
    <t>Promoinvest Fondo Selectivo PROMOINVEST SAF</t>
  </si>
  <si>
    <t>PROMOINVEST SAF</t>
  </si>
  <si>
    <t>FdeF Promoinvest Acciones USA PROMOINVEST SAF</t>
  </si>
  <si>
    <t>PRUDENTIAL SAF-PRUDENTIAL RV GLOBAL SERIE B</t>
  </si>
  <si>
    <t>PRUDENTIAL SAF</t>
  </si>
  <si>
    <t>PRUDENTIAL SAF-PRUDENTIAL RV GLOBAL SERIE A</t>
  </si>
  <si>
    <t>PRUDENTIAL SAF-Prudential Corto Plazo S/. SERIE B</t>
  </si>
  <si>
    <t>PRUDENTIAL SAF-Prudential Corto Plazo S/. SERIE A</t>
  </si>
  <si>
    <t>PRUDENTIAL SAF-Prudential Corto Plazo $ SERIE A</t>
  </si>
  <si>
    <t>PRUDENTIAL SAF-PRUDENTIAL RENTA DOLARES SERIE A</t>
  </si>
  <si>
    <t>PRUDENTIAL SAF-PRUDENTIAL RENTA DOLARES SERIE B</t>
  </si>
  <si>
    <t>PRUDENTIAL SAF-PRUDENTIAL ESTR. DIST. GLOBAL SERIE B</t>
  </si>
  <si>
    <t>PRUDENTIAL SAF-PRUDENTIAL ESTR. DIST. GLOBAL SERIE A</t>
  </si>
  <si>
    <t>SCOTIA FONDO DE F. ACC. US SCOTIA FONDOS</t>
  </si>
  <si>
    <t>SCOTIA FONDOS</t>
  </si>
  <si>
    <t>Scotia Fondo de F. Acc. Europa SCOTIA FONDOS</t>
  </si>
  <si>
    <t>SFdF Acciones Emergentes SCOTIA FONDOS</t>
  </si>
  <si>
    <t>SCOTIA FF INSTITU RF GLOBAL SCOTIA FONDOS</t>
  </si>
  <si>
    <t>SF INST DE RENTA $ IX SCOTIA FONDOS</t>
  </si>
  <si>
    <t>SF INS. DE RENTA $ XIV FMIV SCOTIA FONDOS</t>
  </si>
  <si>
    <t>SF INSTI DE RENTA $ X SCOTIA FONDOS</t>
  </si>
  <si>
    <t>SF Corto Plazo Plus S/ SCOTIA FONDOS</t>
  </si>
  <si>
    <t>SF MEDIANO PLAZO FLEX S/ SCOTIA FONDOS</t>
  </si>
  <si>
    <t>SF Corto Plazo Plus $ SCOTIA FONDOS</t>
  </si>
  <si>
    <t>SF Inst. Renta $ VIII SCOTIA FONDOS</t>
  </si>
  <si>
    <t>SF Institucional Renta $ VI SCOTIA FONDOS</t>
  </si>
  <si>
    <t>SF MEDIANO PLAZO FLEX $ SCOTIA FONDOS</t>
  </si>
  <si>
    <t>SF Institucional Renta $ V SCOTIA FONDOS</t>
  </si>
  <si>
    <t>SCOTIA FONDO DE F. DEUDA HY SCOTIA FONDOS</t>
  </si>
  <si>
    <t>SF Institucional de Renta $ XI SCOTIA FONDOS</t>
  </si>
  <si>
    <t>SF INST RENTA S/ 1Y V SCOTIA FONDOS</t>
  </si>
  <si>
    <t>Scotia Fondo de F. Deuda IG SCOTIA FONDOS</t>
  </si>
  <si>
    <t>SFdF DISTRIBUTIVO IG SCOTIA FONDOS</t>
  </si>
  <si>
    <t>SFdF Distributivo HY II SCOTIA FONDOS</t>
  </si>
  <si>
    <t>SCOTIA FONDO PREMIUM $ SCOTIA FONDOS</t>
  </si>
  <si>
    <t>SCOTIA FONDO PREMIUM S/. SCOTIA FONDOS</t>
  </si>
  <si>
    <t>SF Liquidez S/. SCOTIA FONDOS</t>
  </si>
  <si>
    <t>SF LIQUIDEZ $ SCOTIA FONDOS</t>
  </si>
  <si>
    <t>SCOTIA DEPÓSITO DISPONIBLE $ SCOTIA FONDOS</t>
  </si>
  <si>
    <t>SCOTIA FONDO CASH $ SCOTIA FONDOS</t>
  </si>
  <si>
    <t>SCOTIA DEPÓSITO DISPONIBLE S/. SCOTIA FONDOS</t>
  </si>
  <si>
    <t>SCOTIA FONDO CASH S/. SCOTIA FONDOS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</si>
</sst>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_-&quot;S/&quot;\ * #,##0.00_-;\-&quot;S/&quot;\ * #,##0.00_-;_-&quot;S/&quot;\ * &quot;-&quot;??_-;_-@"/>
  </numFmts>
  <fonts count="7" x14ac:knownFonts="1">
    <font>
      <sz val="11"/>
      <color theme="1"/>
      <name val="Aptos Narrow"/>
      <scheme val="minor"/>
    </font>
    <font>
      <b/>
      <sz val="11"/>
      <color theme="0"/>
      <name val="Aptos Narrow"/>
    </font>
    <font>
      <b/>
      <sz val="11"/>
      <color rgb="FFFFFFFF"/>
      <name val="Aptos Narrow"/>
    </font>
    <font>
      <sz val="11"/>
      <color theme="1"/>
      <name val="Aptos Narrow"/>
    </font>
    <font>
      <sz val="11"/>
      <color rgb="FF000000"/>
      <name val="Aptos Narrow"/>
    </font>
    <font>
      <b/>
      <sz val="11"/>
      <color theme="1"/>
      <name val="Aptos Narrow"/>
    </font>
    <font>
      <b/>
      <sz val="11"/>
      <color theme="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theme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0" fontId="2" fillId="2" borderId="1" xfId="0" applyNumberFormat="1" applyFont="1" applyFill="1" applyBorder="1" applyAlignment="1">
      <alignment horizontal="center" vertical="center"/>
    </xf>
    <xf numFmtId="17" fontId="1" fillId="2" borderId="1" xfId="0" applyNumberFormat="1" applyFont="1" applyFill="1" applyBorder="1" applyAlignment="1">
      <alignment horizontal="center" vertical="center"/>
    </xf>
    <xf numFmtId="17" fontId="6" fillId="2" borderId="1" xfId="0" applyNumberFormat="1" applyFont="1" applyFill="1" applyBorder="1" applyAlignment="1">
      <alignment horizontal="center" vertical="center"/>
    </xf>
    <xf numFmtId="10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3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10" fontId="4" fillId="0" borderId="2" xfId="0" applyNumberFormat="1" applyFont="1" applyBorder="1" applyAlignment="1">
      <alignment vertical="center" wrapText="1"/>
    </xf>
    <xf numFmtId="164" fontId="4" fillId="3" borderId="2" xfId="0" applyNumberFormat="1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10" fontId="3" fillId="0" borderId="2" xfId="0" applyNumberFormat="1" applyFont="1" applyBorder="1" applyAlignment="1">
      <alignment vertical="center" wrapText="1"/>
    </xf>
    <xf numFmtId="165" fontId="4" fillId="3" borderId="2" xfId="0" applyNumberFormat="1" applyFont="1" applyFill="1" applyBorder="1" applyAlignment="1">
      <alignment vertical="center" wrapText="1"/>
    </xf>
    <xf numFmtId="10" fontId="3" fillId="0" borderId="3" xfId="0" applyNumberFormat="1" applyFont="1" applyBorder="1" applyAlignment="1">
      <alignment vertical="center" wrapText="1"/>
    </xf>
    <xf numFmtId="164" fontId="3" fillId="0" borderId="2" xfId="0" applyNumberFormat="1" applyFont="1" applyBorder="1" applyAlignment="1">
      <alignment vertical="center" wrapText="1"/>
    </xf>
    <xf numFmtId="10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na Olivares" id="{FD2D4EE7-91B5-4E79-92B2-9264A1D67E06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21" dT="2026-05-28T20:20:49.00" personId="{FD2D4EE7-91B5-4E79-92B2-9264A1D67E06}" id="{7A681C5B-E791-4087-8C1C-EFF8C60D07CF}">
    <text>FdF Sura Moderado Soles - Serie B</text>
  </threadedComment>
  <threadedComment ref="A122" dT="2026-05-28T20:20:49.00" personId="{FD2D4EE7-91B5-4E79-92B2-9264A1D67E06}" id="{2E1A6D92-AA18-47B8-BD7B-4A98643EBD69}">
    <text>FdF Sura Moderado Soles - Serie A</text>
  </threadedComment>
  <threadedComment ref="A123" dT="2026-05-28T20:20:49.00" personId="{FD2D4EE7-91B5-4E79-92B2-9264A1D67E06}" id="{38660D67-D6D1-4E59-B57E-3ADD9F323B3C}">
    <text>FDF Sura Conservador Soles - Serie B</text>
  </threadedComment>
  <threadedComment ref="A124" dT="2026-05-28T20:20:49.00" personId="{FD2D4EE7-91B5-4E79-92B2-9264A1D67E06}" id="{FBFB5D33-9802-449F-BDD6-71DB4174745D}">
    <text>FDF Sura Conservador Soles - Serie 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09000"/>
  </sheetPr>
  <dimension ref="A1:AF976"/>
  <sheetViews>
    <sheetView showGridLines="0" tabSelected="1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S9" sqref="S9"/>
    </sheetView>
  </sheetViews>
  <sheetFormatPr baseColWidth="10" defaultColWidth="12.6640625" defaultRowHeight="15" customHeight="1" x14ac:dyDescent="0.3"/>
  <cols>
    <col min="1" max="1" width="62.44140625" style="13" customWidth="1"/>
    <col min="2" max="2" width="24.109375" style="13" customWidth="1"/>
    <col min="3" max="3" width="12" style="13" customWidth="1"/>
    <col min="4" max="4" width="26.21875" style="13" customWidth="1"/>
    <col min="5" max="6" width="25.77734375" style="13" customWidth="1"/>
    <col min="7" max="7" width="20.21875" style="13" customWidth="1"/>
    <col min="8" max="8" width="12.44140625" style="13" customWidth="1"/>
    <col min="9" max="9" width="19.21875" style="13" customWidth="1"/>
    <col min="10" max="10" width="27.44140625" style="13" customWidth="1"/>
    <col min="11" max="11" width="18.109375" style="13" customWidth="1"/>
    <col min="12" max="12" width="18.88671875" style="13" customWidth="1"/>
    <col min="13" max="20" width="12.77734375" style="13" customWidth="1"/>
    <col min="21" max="26" width="11.88671875" style="13" customWidth="1"/>
    <col min="27" max="27" width="18" style="13" customWidth="1"/>
    <col min="28" max="28" width="16" style="13" customWidth="1"/>
    <col min="29" max="29" width="18.21875" style="13" customWidth="1"/>
    <col min="30" max="32" width="9" style="13" customWidth="1"/>
    <col min="33" max="16384" width="12.6640625" style="13"/>
  </cols>
  <sheetData>
    <row r="1" spans="1:32" ht="30" customHeight="1" x14ac:dyDescent="0.3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4" t="s">
        <v>11</v>
      </c>
      <c r="M1" s="6">
        <v>45992</v>
      </c>
      <c r="N1" s="6">
        <v>46023</v>
      </c>
      <c r="O1" s="6">
        <v>46054</v>
      </c>
      <c r="P1" s="6">
        <v>46082</v>
      </c>
      <c r="Q1" s="6">
        <v>46113</v>
      </c>
      <c r="R1" s="6">
        <v>46143</v>
      </c>
      <c r="S1" s="6">
        <v>46174</v>
      </c>
      <c r="T1" s="7">
        <v>46204</v>
      </c>
      <c r="U1" s="8" t="s">
        <v>12</v>
      </c>
      <c r="V1" s="9">
        <v>2025</v>
      </c>
      <c r="W1" s="9">
        <v>2024</v>
      </c>
      <c r="X1" s="9">
        <v>2023</v>
      </c>
      <c r="Y1" s="9">
        <v>2022</v>
      </c>
      <c r="Z1" s="9">
        <v>2021</v>
      </c>
      <c r="AA1" s="10" t="s">
        <v>13</v>
      </c>
      <c r="AB1" s="11" t="s">
        <v>14</v>
      </c>
      <c r="AC1" s="11" t="s">
        <v>15</v>
      </c>
      <c r="AD1" s="12"/>
      <c r="AE1" s="12"/>
      <c r="AF1" s="12"/>
    </row>
    <row r="2" spans="1:32" ht="14.25" customHeight="1" x14ac:dyDescent="0.3">
      <c r="A2" s="14" t="s">
        <v>16</v>
      </c>
      <c r="B2" s="15" t="s">
        <v>17</v>
      </c>
      <c r="C2" s="14" t="s">
        <v>18</v>
      </c>
      <c r="D2" s="14" t="s">
        <v>19</v>
      </c>
      <c r="E2" s="14" t="s">
        <v>20</v>
      </c>
      <c r="F2" s="14" t="s">
        <v>21</v>
      </c>
      <c r="G2" s="14" t="s">
        <v>22</v>
      </c>
      <c r="H2" s="14" t="s">
        <v>23</v>
      </c>
      <c r="I2" s="14" t="s">
        <v>24</v>
      </c>
      <c r="J2" s="14" t="s">
        <v>25</v>
      </c>
      <c r="K2" s="16">
        <v>0.01</v>
      </c>
      <c r="L2" s="17">
        <v>45518</v>
      </c>
      <c r="M2" s="18">
        <v>10.747625210000001</v>
      </c>
      <c r="N2" s="18">
        <v>10.79060378</v>
      </c>
      <c r="O2" s="18">
        <v>10.820198960000001</v>
      </c>
      <c r="P2" s="18">
        <v>10.86107945</v>
      </c>
      <c r="Q2" s="18">
        <v>10.892587730000001</v>
      </c>
      <c r="R2" s="18">
        <v>10.93675958</v>
      </c>
      <c r="S2" s="18">
        <v>10.990904219999999</v>
      </c>
      <c r="T2" s="18">
        <v>11.01993757</v>
      </c>
      <c r="U2" s="19">
        <v>2.53E-2</v>
      </c>
      <c r="V2" s="19">
        <v>5.7299999999999997E-2</v>
      </c>
      <c r="W2" s="19" t="s">
        <v>26</v>
      </c>
      <c r="X2" s="19" t="s">
        <v>26</v>
      </c>
      <c r="Y2" s="19" t="s">
        <v>26</v>
      </c>
      <c r="Z2" s="19" t="s">
        <v>26</v>
      </c>
      <c r="AA2" s="20">
        <v>0</v>
      </c>
      <c r="AB2" s="21">
        <f>IFERROR(AVERAGE($V2:$Z2),"")</f>
        <v>5.7299999999999997E-2</v>
      </c>
      <c r="AC2" s="21">
        <f>IFERROR(_xlfn.STDEV.P($V2:$Z2),"")</f>
        <v>0</v>
      </c>
    </row>
    <row r="3" spans="1:32" ht="14.25" customHeight="1" x14ac:dyDescent="0.3">
      <c r="A3" s="18" t="s">
        <v>27</v>
      </c>
      <c r="B3" s="18" t="s">
        <v>17</v>
      </c>
      <c r="C3" s="18" t="s">
        <v>28</v>
      </c>
      <c r="D3" s="14" t="s">
        <v>19</v>
      </c>
      <c r="E3" s="14" t="s">
        <v>20</v>
      </c>
      <c r="F3" s="14" t="s">
        <v>21</v>
      </c>
      <c r="G3" s="14" t="s">
        <v>29</v>
      </c>
      <c r="H3" s="14" t="s">
        <v>23</v>
      </c>
      <c r="I3" s="14" t="s">
        <v>24</v>
      </c>
      <c r="J3" s="14" t="s">
        <v>25</v>
      </c>
      <c r="K3" s="16">
        <v>8.5000000000000006E-3</v>
      </c>
      <c r="L3" s="22">
        <v>45394</v>
      </c>
      <c r="M3" s="18">
        <v>10.93606518</v>
      </c>
      <c r="N3" s="18">
        <v>10.98004482</v>
      </c>
      <c r="O3" s="18">
        <v>11.017578289999999</v>
      </c>
      <c r="P3" s="18">
        <v>11.037218859999999</v>
      </c>
      <c r="Q3" s="18">
        <v>11.07885628</v>
      </c>
      <c r="R3" s="18">
        <v>11.11146299</v>
      </c>
      <c r="S3" s="18">
        <v>11.160596610000001</v>
      </c>
      <c r="T3" s="18">
        <v>11.186709710000001</v>
      </c>
      <c r="U3" s="19">
        <v>2.29E-2</v>
      </c>
      <c r="V3" s="19">
        <v>5.1499999999999997E-2</v>
      </c>
      <c r="W3" s="19">
        <v>3.3700000000000001E-2</v>
      </c>
      <c r="X3" s="19" t="s">
        <v>26</v>
      </c>
      <c r="Y3" s="19" t="s">
        <v>26</v>
      </c>
      <c r="Z3" s="19" t="s">
        <v>26</v>
      </c>
      <c r="AA3" s="20">
        <v>0</v>
      </c>
      <c r="AB3" s="21">
        <f>IFERROR(AVERAGE($V3:$Z3),"")</f>
        <v>4.2599999999999999E-2</v>
      </c>
      <c r="AC3" s="21">
        <f>IFERROR(_xlfn.STDEV.P($V3:$Z3),"")</f>
        <v>8.8999999999999947E-3</v>
      </c>
    </row>
    <row r="4" spans="1:32" ht="14.25" customHeight="1" x14ac:dyDescent="0.3">
      <c r="A4" s="18" t="s">
        <v>30</v>
      </c>
      <c r="B4" s="18" t="s">
        <v>17</v>
      </c>
      <c r="C4" s="18" t="s">
        <v>18</v>
      </c>
      <c r="D4" s="14" t="s">
        <v>19</v>
      </c>
      <c r="E4" s="14" t="s">
        <v>20</v>
      </c>
      <c r="F4" s="14" t="s">
        <v>21</v>
      </c>
      <c r="G4" s="14" t="s">
        <v>22</v>
      </c>
      <c r="H4" s="14" t="s">
        <v>23</v>
      </c>
      <c r="I4" s="14" t="s">
        <v>24</v>
      </c>
      <c r="J4" s="14" t="s">
        <v>25</v>
      </c>
      <c r="K4" s="16">
        <v>8.9999999999999993E-3</v>
      </c>
      <c r="L4" s="22">
        <v>45518</v>
      </c>
      <c r="M4" s="18">
        <v>10.952996260000001</v>
      </c>
      <c r="N4" s="18">
        <v>10.99660327</v>
      </c>
      <c r="O4" s="18">
        <v>11.02504186</v>
      </c>
      <c r="P4" s="18">
        <v>11.06397157</v>
      </c>
      <c r="Q4" s="18">
        <v>11.093508590000001</v>
      </c>
      <c r="R4" s="18">
        <v>11.13582259</v>
      </c>
      <c r="S4" s="18">
        <v>11.191325580000001</v>
      </c>
      <c r="T4" s="18">
        <v>11.217969350000001</v>
      </c>
      <c r="U4" s="19">
        <v>2.4199999999999999E-2</v>
      </c>
      <c r="V4" s="19">
        <v>5.4699999999999999E-2</v>
      </c>
      <c r="W4" s="19">
        <v>2.4799999999999999E-2</v>
      </c>
      <c r="X4" s="19" t="s">
        <v>26</v>
      </c>
      <c r="Y4" s="19" t="s">
        <v>26</v>
      </c>
      <c r="Z4" s="19" t="s">
        <v>26</v>
      </c>
      <c r="AA4" s="20">
        <v>0</v>
      </c>
      <c r="AB4" s="21">
        <f>IFERROR(AVERAGE($V4:$Z4),"")</f>
        <v>3.9750000000000001E-2</v>
      </c>
      <c r="AC4" s="21">
        <f>IFERROR(_xlfn.STDEV.P($V4:$Z4),"")</f>
        <v>1.4949999999999991E-2</v>
      </c>
    </row>
    <row r="5" spans="1:32" ht="14.25" customHeight="1" x14ac:dyDescent="0.3">
      <c r="A5" s="14" t="s">
        <v>31</v>
      </c>
      <c r="B5" s="15" t="s">
        <v>17</v>
      </c>
      <c r="C5" s="14" t="s">
        <v>28</v>
      </c>
      <c r="D5" s="14" t="s">
        <v>19</v>
      </c>
      <c r="E5" s="14" t="s">
        <v>20</v>
      </c>
      <c r="F5" s="14" t="s">
        <v>21</v>
      </c>
      <c r="G5" s="14" t="s">
        <v>29</v>
      </c>
      <c r="H5" s="14" t="s">
        <v>23</v>
      </c>
      <c r="I5" s="14" t="s">
        <v>24</v>
      </c>
      <c r="J5" s="14" t="s">
        <v>25</v>
      </c>
      <c r="K5" s="16">
        <v>7.4999999999999997E-3</v>
      </c>
      <c r="L5" s="17">
        <v>45394</v>
      </c>
      <c r="M5" s="18">
        <v>10.23600776</v>
      </c>
      <c r="N5" s="18">
        <v>10.277143430000001</v>
      </c>
      <c r="O5" s="18">
        <v>10.31316554</v>
      </c>
      <c r="P5" s="18">
        <v>10.333970040000001</v>
      </c>
      <c r="Q5" s="18">
        <v>10.37568649</v>
      </c>
      <c r="R5" s="18">
        <v>10.407963690000001</v>
      </c>
      <c r="S5" s="18">
        <v>10.45456282</v>
      </c>
      <c r="T5" s="18">
        <v>10.48189756</v>
      </c>
      <c r="U5" s="19">
        <v>2.4E-2</v>
      </c>
      <c r="V5" s="19">
        <v>-1.6199999999999999E-2</v>
      </c>
      <c r="W5" s="19">
        <v>3.5099999999999999E-2</v>
      </c>
      <c r="X5" s="19" t="s">
        <v>26</v>
      </c>
      <c r="Y5" s="19" t="s">
        <v>26</v>
      </c>
      <c r="Z5" s="19" t="s">
        <v>26</v>
      </c>
      <c r="AA5" s="20">
        <v>0</v>
      </c>
      <c r="AB5" s="21">
        <f>IFERROR(AVERAGE($V5:$Z5),"")</f>
        <v>9.4500000000000001E-3</v>
      </c>
      <c r="AC5" s="21">
        <f>IFERROR(_xlfn.STDEV.P($V5:$Z5),"")</f>
        <v>2.5649999999999999E-2</v>
      </c>
    </row>
    <row r="6" spans="1:32" ht="14.25" customHeight="1" x14ac:dyDescent="0.3">
      <c r="A6" s="14" t="s">
        <v>32</v>
      </c>
      <c r="B6" s="15" t="s">
        <v>33</v>
      </c>
      <c r="C6" s="14" t="s">
        <v>18</v>
      </c>
      <c r="D6" s="14" t="s">
        <v>34</v>
      </c>
      <c r="E6" s="14" t="s">
        <v>20</v>
      </c>
      <c r="F6" s="14" t="s">
        <v>21</v>
      </c>
      <c r="G6" s="14" t="s">
        <v>22</v>
      </c>
      <c r="H6" s="14" t="s">
        <v>23</v>
      </c>
      <c r="I6" s="14" t="s">
        <v>24</v>
      </c>
      <c r="J6" s="14" t="s">
        <v>35</v>
      </c>
      <c r="K6" s="16">
        <v>6.4999999999999997E-3</v>
      </c>
      <c r="L6" s="17">
        <v>39784</v>
      </c>
      <c r="M6" s="18">
        <v>170.46159245999999</v>
      </c>
      <c r="N6" s="18">
        <v>171.02995018999999</v>
      </c>
      <c r="O6" s="18">
        <v>171.51920490000001</v>
      </c>
      <c r="P6" s="18">
        <v>172.04416921999999</v>
      </c>
      <c r="Q6" s="18">
        <v>172.59621182999999</v>
      </c>
      <c r="R6" s="18">
        <v>173.15058479999999</v>
      </c>
      <c r="S6" s="18">
        <v>173.72934685999999</v>
      </c>
      <c r="T6" s="18">
        <v>174.31846501999999</v>
      </c>
      <c r="U6" s="19">
        <v>2.2599999999999999E-2</v>
      </c>
      <c r="V6" s="19">
        <v>4.1300000000000003E-2</v>
      </c>
      <c r="W6" s="19">
        <v>5.4300000000000001E-2</v>
      </c>
      <c r="X6" s="19">
        <v>7.1300000000000002E-2</v>
      </c>
      <c r="Y6" s="19">
        <v>3.7999999999999999E-2</v>
      </c>
      <c r="Z6" s="19">
        <v>1E-3</v>
      </c>
      <c r="AA6" s="20">
        <v>2714460737.9899998</v>
      </c>
      <c r="AB6" s="21">
        <f>IFERROR(AVERAGE($V6:$Z6),"")</f>
        <v>4.1180000000000001E-2</v>
      </c>
      <c r="AC6" s="21">
        <f>IFERROR(_xlfn.STDEV.P($V6:$Z6),"")</f>
        <v>2.325471135060592E-2</v>
      </c>
    </row>
    <row r="7" spans="1:32" ht="14.25" customHeight="1" x14ac:dyDescent="0.3">
      <c r="A7" s="14" t="s">
        <v>36</v>
      </c>
      <c r="B7" s="15" t="s">
        <v>33</v>
      </c>
      <c r="C7" s="14" t="s">
        <v>18</v>
      </c>
      <c r="D7" s="14" t="s">
        <v>34</v>
      </c>
      <c r="E7" s="14" t="s">
        <v>20</v>
      </c>
      <c r="F7" s="14" t="s">
        <v>21</v>
      </c>
      <c r="G7" s="14" t="s">
        <v>22</v>
      </c>
      <c r="H7" s="14" t="s">
        <v>23</v>
      </c>
      <c r="I7" s="14" t="s">
        <v>24</v>
      </c>
      <c r="J7" s="14" t="s">
        <v>35</v>
      </c>
      <c r="K7" s="16">
        <v>4.0000000000000001E-3</v>
      </c>
      <c r="L7" s="17">
        <v>43376</v>
      </c>
      <c r="M7" s="18">
        <v>131.6919245</v>
      </c>
      <c r="N7" s="18">
        <v>132.14481548000001</v>
      </c>
      <c r="O7" s="18">
        <v>132.54790410999999</v>
      </c>
      <c r="P7" s="18">
        <v>132.99207010000001</v>
      </c>
      <c r="Q7" s="18">
        <v>133.42620184</v>
      </c>
      <c r="R7" s="18">
        <v>133.87847149000001</v>
      </c>
      <c r="S7" s="18">
        <v>134.35108005000001</v>
      </c>
      <c r="T7" s="18">
        <v>134.82905649</v>
      </c>
      <c r="U7" s="19">
        <v>2.3800000000000002E-2</v>
      </c>
      <c r="V7" s="19">
        <v>4.2700000000000002E-2</v>
      </c>
      <c r="W7" s="19">
        <v>5.57E-2</v>
      </c>
      <c r="X7" s="19">
        <v>7.0800000000000002E-2</v>
      </c>
      <c r="Y7" s="19">
        <v>3.44E-2</v>
      </c>
      <c r="Z7" s="19">
        <v>1.4E-3</v>
      </c>
      <c r="AA7" s="20">
        <v>309635566.69</v>
      </c>
      <c r="AB7" s="21">
        <f>IFERROR(AVERAGE($V7:$Z7),"")</f>
        <v>4.1000000000000002E-2</v>
      </c>
      <c r="AC7" s="21">
        <f>IFERROR(_xlfn.STDEV.P($V7:$Z7),"")</f>
        <v>2.3318404748181205E-2</v>
      </c>
    </row>
    <row r="8" spans="1:32" ht="14.25" customHeight="1" x14ac:dyDescent="0.3">
      <c r="A8" s="14" t="s">
        <v>37</v>
      </c>
      <c r="B8" s="15" t="s">
        <v>33</v>
      </c>
      <c r="C8" s="14" t="s">
        <v>28</v>
      </c>
      <c r="D8" s="14" t="s">
        <v>34</v>
      </c>
      <c r="E8" s="14" t="s">
        <v>20</v>
      </c>
      <c r="F8" s="14" t="s">
        <v>21</v>
      </c>
      <c r="G8" s="14" t="s">
        <v>22</v>
      </c>
      <c r="H8" s="14" t="s">
        <v>23</v>
      </c>
      <c r="I8" s="14" t="s">
        <v>24</v>
      </c>
      <c r="J8" s="14" t="s">
        <v>35</v>
      </c>
      <c r="K8" s="16">
        <v>5.4000000000000003E-3</v>
      </c>
      <c r="L8" s="17">
        <v>39784</v>
      </c>
      <c r="M8" s="18">
        <v>127.33841409999999</v>
      </c>
      <c r="N8" s="18">
        <v>127.7132156</v>
      </c>
      <c r="O8" s="18">
        <v>128.06815354</v>
      </c>
      <c r="P8" s="18">
        <v>128.43029195</v>
      </c>
      <c r="Q8" s="18">
        <v>128.80446430000001</v>
      </c>
      <c r="R8" s="18">
        <v>129.15999590000001</v>
      </c>
      <c r="S8" s="18">
        <v>129.53030351000001</v>
      </c>
      <c r="T8" s="18">
        <v>129.91890425</v>
      </c>
      <c r="U8" s="19">
        <v>2.0299999999999999E-2</v>
      </c>
      <c r="V8" s="19">
        <v>3.8899999999999997E-2</v>
      </c>
      <c r="W8" s="19">
        <v>4.8000000000000001E-2</v>
      </c>
      <c r="X8" s="19">
        <v>4.4200000000000003E-2</v>
      </c>
      <c r="Y8" s="19">
        <v>1.2200000000000001E-2</v>
      </c>
      <c r="Z8" s="19">
        <v>1E-3</v>
      </c>
      <c r="AA8" s="20">
        <v>4480321054.2399998</v>
      </c>
      <c r="AB8" s="21">
        <f>IFERROR(AVERAGE($V8:$Z8),"")</f>
        <v>2.8859999999999997E-2</v>
      </c>
      <c r="AC8" s="21">
        <f>IFERROR(_xlfn.STDEV.P($V8:$Z8),"")</f>
        <v>1.8741355340529675E-2</v>
      </c>
    </row>
    <row r="9" spans="1:32" ht="14.25" customHeight="1" x14ac:dyDescent="0.3">
      <c r="A9" s="14" t="s">
        <v>38</v>
      </c>
      <c r="B9" s="15" t="s">
        <v>33</v>
      </c>
      <c r="C9" s="14" t="s">
        <v>28</v>
      </c>
      <c r="D9" s="14" t="s">
        <v>34</v>
      </c>
      <c r="E9" s="14" t="s">
        <v>20</v>
      </c>
      <c r="F9" s="14" t="s">
        <v>21</v>
      </c>
      <c r="G9" s="14" t="s">
        <v>22</v>
      </c>
      <c r="H9" s="14" t="s">
        <v>23</v>
      </c>
      <c r="I9" s="14" t="s">
        <v>24</v>
      </c>
      <c r="J9" s="14" t="s">
        <v>39</v>
      </c>
      <c r="K9" s="16">
        <v>4.4000000000000003E-3</v>
      </c>
      <c r="L9" s="17">
        <v>45833</v>
      </c>
      <c r="M9" s="18">
        <v>102.21157718000001</v>
      </c>
      <c r="N9" s="18">
        <v>102.53680491999999</v>
      </c>
      <c r="O9" s="18">
        <v>102.83028446</v>
      </c>
      <c r="P9" s="18">
        <v>103.15649442</v>
      </c>
      <c r="Q9" s="18">
        <v>103.47293241</v>
      </c>
      <c r="R9" s="18">
        <v>103.78935060000001</v>
      </c>
      <c r="S9" s="18">
        <v>104.04982424000001</v>
      </c>
      <c r="T9" s="18">
        <v>104.04982424000001</v>
      </c>
      <c r="U9" s="19">
        <v>-1</v>
      </c>
      <c r="V9" s="19">
        <v>2.0500000000000001E-2</v>
      </c>
      <c r="W9" s="19" t="s">
        <v>26</v>
      </c>
      <c r="X9" s="19" t="s">
        <v>26</v>
      </c>
      <c r="Y9" s="19" t="s">
        <v>26</v>
      </c>
      <c r="Z9" s="19" t="s">
        <v>26</v>
      </c>
      <c r="AA9" s="20">
        <v>65937854.149999999</v>
      </c>
      <c r="AB9" s="21">
        <f>IFERROR(AVERAGE($V9:$Z9),"")</f>
        <v>2.0500000000000001E-2</v>
      </c>
      <c r="AC9" s="21">
        <f>IFERROR(_xlfn.STDEV.P($V9:$Z9),"")</f>
        <v>0</v>
      </c>
    </row>
    <row r="10" spans="1:32" ht="14.25" customHeight="1" x14ac:dyDescent="0.3">
      <c r="A10" s="14" t="s">
        <v>40</v>
      </c>
      <c r="B10" s="15" t="s">
        <v>33</v>
      </c>
      <c r="C10" s="14" t="s">
        <v>18</v>
      </c>
      <c r="D10" s="14" t="s">
        <v>41</v>
      </c>
      <c r="E10" s="14" t="s">
        <v>42</v>
      </c>
      <c r="F10" s="14" t="s">
        <v>43</v>
      </c>
      <c r="G10" s="14" t="s">
        <v>29</v>
      </c>
      <c r="H10" s="14" t="s">
        <v>44</v>
      </c>
      <c r="I10" s="14" t="s">
        <v>45</v>
      </c>
      <c r="J10" s="14" t="s">
        <v>46</v>
      </c>
      <c r="K10" s="16">
        <v>8.0000000000000002E-3</v>
      </c>
      <c r="L10" s="17">
        <v>39157</v>
      </c>
      <c r="M10" s="18">
        <v>134.25931532000001</v>
      </c>
      <c r="N10" s="18">
        <v>135.47440907000001</v>
      </c>
      <c r="O10" s="18">
        <v>136.63407153</v>
      </c>
      <c r="P10" s="18">
        <v>129.88713683</v>
      </c>
      <c r="Q10" s="18">
        <v>137.58376407</v>
      </c>
      <c r="R10" s="18">
        <v>141.61783996</v>
      </c>
      <c r="S10" s="18">
        <v>141.31437661000001</v>
      </c>
      <c r="T10" s="18">
        <v>140.20363012000001</v>
      </c>
      <c r="U10" s="19">
        <v>4.4299999999999999E-2</v>
      </c>
      <c r="V10" s="19">
        <v>0.1239</v>
      </c>
      <c r="W10" s="19">
        <v>7.0300000000000001E-2</v>
      </c>
      <c r="X10" s="19">
        <v>0.1077</v>
      </c>
      <c r="Y10" s="19">
        <v>-9.6799999999999997E-2</v>
      </c>
      <c r="Z10" s="19">
        <v>0.11559999999999999</v>
      </c>
      <c r="AA10" s="20">
        <v>33750906.960000001</v>
      </c>
      <c r="AB10" s="21">
        <f>IFERROR(AVERAGE($V10:$Z10),"")</f>
        <v>6.4140000000000003E-2</v>
      </c>
      <c r="AC10" s="21">
        <f>IFERROR(_xlfn.STDEV.P($V10:$Z10),"")</f>
        <v>8.2530590692179107E-2</v>
      </c>
    </row>
    <row r="11" spans="1:32" ht="14.25" customHeight="1" x14ac:dyDescent="0.3">
      <c r="A11" s="14" t="s">
        <v>47</v>
      </c>
      <c r="B11" s="15" t="s">
        <v>33</v>
      </c>
      <c r="C11" s="14" t="s">
        <v>18</v>
      </c>
      <c r="D11" s="14" t="s">
        <v>48</v>
      </c>
      <c r="E11" s="14" t="s">
        <v>49</v>
      </c>
      <c r="F11" s="14" t="s">
        <v>21</v>
      </c>
      <c r="G11" s="14" t="s">
        <v>29</v>
      </c>
      <c r="H11" s="14" t="s">
        <v>44</v>
      </c>
      <c r="I11" s="14" t="s">
        <v>45</v>
      </c>
      <c r="J11" s="14" t="s">
        <v>46</v>
      </c>
      <c r="K11" s="16">
        <v>7.0000000000000001E-3</v>
      </c>
      <c r="L11" s="17">
        <v>39160</v>
      </c>
      <c r="M11" s="18">
        <v>152.93807315000001</v>
      </c>
      <c r="N11" s="18">
        <v>153.89545921000001</v>
      </c>
      <c r="O11" s="18">
        <v>155.07756101999999</v>
      </c>
      <c r="P11" s="18">
        <v>150.40473807000001</v>
      </c>
      <c r="Q11" s="18">
        <v>155.49917499</v>
      </c>
      <c r="R11" s="18">
        <v>158.14168950000001</v>
      </c>
      <c r="S11" s="18">
        <v>158.34939528000001</v>
      </c>
      <c r="T11" s="18">
        <v>157.18046373999999</v>
      </c>
      <c r="U11" s="19">
        <v>2.7699999999999999E-2</v>
      </c>
      <c r="V11" s="19">
        <v>8.8599999999999998E-2</v>
      </c>
      <c r="W11" s="19">
        <v>5.0500000000000003E-2</v>
      </c>
      <c r="X11" s="19">
        <v>8.7499999999999994E-2</v>
      </c>
      <c r="Y11" s="19">
        <v>-7.17E-2</v>
      </c>
      <c r="Z11" s="19">
        <v>4.4999999999999998E-2</v>
      </c>
      <c r="AA11" s="20">
        <v>25071994.34</v>
      </c>
      <c r="AB11" s="21">
        <f>IFERROR(AVERAGE($V11:$Z11),"")</f>
        <v>3.9979999999999995E-2</v>
      </c>
      <c r="AC11" s="21">
        <f>IFERROR(_xlfn.STDEV.P($V11:$Z11),"")</f>
        <v>5.8703233301071245E-2</v>
      </c>
    </row>
    <row r="12" spans="1:32" ht="14.25" customHeight="1" x14ac:dyDescent="0.3">
      <c r="A12" s="14" t="s">
        <v>50</v>
      </c>
      <c r="B12" s="15" t="s">
        <v>33</v>
      </c>
      <c r="C12" s="14" t="s">
        <v>28</v>
      </c>
      <c r="D12" s="14" t="s">
        <v>41</v>
      </c>
      <c r="E12" s="14" t="s">
        <v>42</v>
      </c>
      <c r="F12" s="14" t="s">
        <v>43</v>
      </c>
      <c r="G12" s="14" t="s">
        <v>29</v>
      </c>
      <c r="H12" s="14" t="s">
        <v>44</v>
      </c>
      <c r="I12" s="14" t="s">
        <v>45</v>
      </c>
      <c r="J12" s="14" t="s">
        <v>46</v>
      </c>
      <c r="K12" s="16">
        <v>8.0000000000000002E-3</v>
      </c>
      <c r="L12" s="17">
        <v>40822</v>
      </c>
      <c r="M12" s="18">
        <v>72.360038419999995</v>
      </c>
      <c r="N12" s="18">
        <v>72.836507990000001</v>
      </c>
      <c r="O12" s="18">
        <v>73.407435329999998</v>
      </c>
      <c r="P12" s="18">
        <v>69.813725349999999</v>
      </c>
      <c r="Q12" s="18">
        <v>73.748795560000005</v>
      </c>
      <c r="R12" s="18">
        <v>75.800595369999996</v>
      </c>
      <c r="S12" s="18">
        <v>75.548136799999995</v>
      </c>
      <c r="T12" s="18">
        <v>74.855090869999998</v>
      </c>
      <c r="U12" s="19">
        <v>3.4500000000000003E-2</v>
      </c>
      <c r="V12" s="19">
        <v>0.1196</v>
      </c>
      <c r="W12" s="19">
        <v>7.0400000000000004E-2</v>
      </c>
      <c r="X12" s="19">
        <v>8.8800000000000004E-2</v>
      </c>
      <c r="Y12" s="19">
        <v>-0.1119</v>
      </c>
      <c r="Z12" s="19">
        <v>1.2500000000000001E-2</v>
      </c>
      <c r="AA12" s="20">
        <v>5553933.8200000003</v>
      </c>
      <c r="AB12" s="21">
        <f>IFERROR(AVERAGE($V12:$Z12),"")</f>
        <v>3.5880000000000002E-2</v>
      </c>
      <c r="AC12" s="21">
        <f>IFERROR(_xlfn.STDEV.P($V12:$Z12),"")</f>
        <v>8.1715051245165357E-2</v>
      </c>
    </row>
    <row r="13" spans="1:32" ht="14.25" customHeight="1" x14ac:dyDescent="0.3">
      <c r="A13" s="14" t="s">
        <v>51</v>
      </c>
      <c r="B13" s="15" t="s">
        <v>33</v>
      </c>
      <c r="C13" s="14" t="s">
        <v>28</v>
      </c>
      <c r="D13" s="14" t="s">
        <v>48</v>
      </c>
      <c r="E13" s="14" t="s">
        <v>49</v>
      </c>
      <c r="F13" s="14" t="s">
        <v>21</v>
      </c>
      <c r="G13" s="14" t="s">
        <v>29</v>
      </c>
      <c r="H13" s="14" t="s">
        <v>44</v>
      </c>
      <c r="I13" s="14" t="s">
        <v>45</v>
      </c>
      <c r="J13" s="14" t="s">
        <v>46</v>
      </c>
      <c r="K13" s="16">
        <v>7.0000000000000001E-3</v>
      </c>
      <c r="L13" s="17">
        <v>44273</v>
      </c>
      <c r="M13" s="18">
        <v>114.89002757</v>
      </c>
      <c r="N13" s="18">
        <v>115.38345344</v>
      </c>
      <c r="O13" s="18">
        <v>116.28249061</v>
      </c>
      <c r="P13" s="18">
        <v>112.70524808</v>
      </c>
      <c r="Q13" s="18">
        <v>116.32629174</v>
      </c>
      <c r="R13" s="18">
        <v>118.15288035</v>
      </c>
      <c r="S13" s="18">
        <v>118.06020358000001</v>
      </c>
      <c r="T13" s="18">
        <v>116.97723144</v>
      </c>
      <c r="U13" s="19">
        <v>1.8200000000000001E-2</v>
      </c>
      <c r="V13" s="19">
        <v>8.4599999999999995E-2</v>
      </c>
      <c r="W13" s="19">
        <v>5.4600000000000003E-2</v>
      </c>
      <c r="X13" s="19">
        <v>7.3400000000000007E-2</v>
      </c>
      <c r="Y13" s="19">
        <v>-8.3599999999999994E-2</v>
      </c>
      <c r="Z13" s="19">
        <v>1.9300000000000001E-2</v>
      </c>
      <c r="AA13" s="20">
        <v>4555987.01</v>
      </c>
      <c r="AB13" s="21">
        <f>IFERROR(AVERAGE($V13:$Z13),"")</f>
        <v>2.9660000000000002E-2</v>
      </c>
      <c r="AC13" s="21">
        <f>IFERROR(_xlfn.STDEV.P($V13:$Z13),"")</f>
        <v>6.0809130893312392E-2</v>
      </c>
    </row>
    <row r="14" spans="1:32" ht="14.25" customHeight="1" x14ac:dyDescent="0.3">
      <c r="A14" s="14" t="s">
        <v>52</v>
      </c>
      <c r="B14" s="15" t="s">
        <v>33</v>
      </c>
      <c r="C14" s="14" t="s">
        <v>18</v>
      </c>
      <c r="D14" s="14" t="s">
        <v>48</v>
      </c>
      <c r="E14" s="14" t="s">
        <v>53</v>
      </c>
      <c r="F14" s="14" t="s">
        <v>21</v>
      </c>
      <c r="G14" s="14" t="s">
        <v>22</v>
      </c>
      <c r="H14" s="14" t="s">
        <v>54</v>
      </c>
      <c r="I14" s="14" t="s">
        <v>24</v>
      </c>
      <c r="J14" s="14" t="s">
        <v>55</v>
      </c>
      <c r="K14" s="16">
        <v>0.01</v>
      </c>
      <c r="L14" s="17">
        <v>35720</v>
      </c>
      <c r="M14" s="18">
        <v>402.45125322000001</v>
      </c>
      <c r="N14" s="18">
        <v>404.55440390000001</v>
      </c>
      <c r="O14" s="18">
        <v>406.08190055</v>
      </c>
      <c r="P14" s="18">
        <v>401.44983323000002</v>
      </c>
      <c r="Q14" s="18">
        <v>406.12916368999998</v>
      </c>
      <c r="R14" s="18">
        <v>407.70972418999997</v>
      </c>
      <c r="S14" s="18">
        <v>410.65932354</v>
      </c>
      <c r="T14" s="18">
        <v>411.87582773999998</v>
      </c>
      <c r="U14" s="19">
        <v>2.3400000000000001E-2</v>
      </c>
      <c r="V14" s="19">
        <v>7.85E-2</v>
      </c>
      <c r="W14" s="19">
        <v>6.1699999999999998E-2</v>
      </c>
      <c r="X14" s="19">
        <v>0.1032</v>
      </c>
      <c r="Y14" s="19">
        <v>5.5999999999999999E-3</v>
      </c>
      <c r="Z14" s="19">
        <v>-4.8599999999999997E-2</v>
      </c>
      <c r="AA14" s="20">
        <v>472879276.06</v>
      </c>
      <c r="AB14" s="21">
        <f>IFERROR(AVERAGE($V14:$Z14),"")</f>
        <v>4.0079999999999998E-2</v>
      </c>
      <c r="AC14" s="21">
        <f>IFERROR(_xlfn.STDEV.P($V14:$Z14),"")</f>
        <v>5.4736949129450027E-2</v>
      </c>
    </row>
    <row r="15" spans="1:32" ht="14.25" customHeight="1" x14ac:dyDescent="0.3">
      <c r="A15" s="14" t="s">
        <v>56</v>
      </c>
      <c r="B15" s="15" t="s">
        <v>33</v>
      </c>
      <c r="C15" s="14" t="s">
        <v>18</v>
      </c>
      <c r="D15" s="14" t="s">
        <v>48</v>
      </c>
      <c r="E15" s="14" t="s">
        <v>53</v>
      </c>
      <c r="F15" s="14" t="s">
        <v>21</v>
      </c>
      <c r="G15" s="14" t="s">
        <v>22</v>
      </c>
      <c r="H15" s="14" t="s">
        <v>23</v>
      </c>
      <c r="I15" s="14" t="s">
        <v>24</v>
      </c>
      <c r="J15" s="14" t="s">
        <v>35</v>
      </c>
      <c r="K15" s="16">
        <v>8.0000000000000002E-3</v>
      </c>
      <c r="L15" s="17">
        <v>38713</v>
      </c>
      <c r="M15" s="18">
        <v>208.31806234999999</v>
      </c>
      <c r="N15" s="18">
        <v>209.35727355</v>
      </c>
      <c r="O15" s="18">
        <v>210.11623319</v>
      </c>
      <c r="P15" s="18">
        <v>210.09646728000001</v>
      </c>
      <c r="Q15" s="18">
        <v>211.12221948999999</v>
      </c>
      <c r="R15" s="18">
        <v>211.84300413</v>
      </c>
      <c r="S15" s="18">
        <v>212.78308894</v>
      </c>
      <c r="T15" s="18">
        <v>213.58180999000001</v>
      </c>
      <c r="U15" s="19">
        <v>2.53E-2</v>
      </c>
      <c r="V15" s="19">
        <v>5.1700000000000003E-2</v>
      </c>
      <c r="W15" s="19">
        <v>5.6099999999999997E-2</v>
      </c>
      <c r="X15" s="19">
        <v>7.6799999999999993E-2</v>
      </c>
      <c r="Y15" s="19">
        <v>2.7199999999999998E-2</v>
      </c>
      <c r="Z15" s="19">
        <v>-1.95E-2</v>
      </c>
      <c r="AA15" s="20">
        <v>927883838.01999998</v>
      </c>
      <c r="AB15" s="21">
        <f>IFERROR(AVERAGE($V15:$Z15),"")</f>
        <v>3.8460000000000001E-2</v>
      </c>
      <c r="AC15" s="21">
        <f>IFERROR(_xlfn.STDEV.P($V15:$Z15),"")</f>
        <v>3.2992641603848578E-2</v>
      </c>
    </row>
    <row r="16" spans="1:32" ht="14.25" customHeight="1" x14ac:dyDescent="0.3">
      <c r="A16" s="14" t="s">
        <v>57</v>
      </c>
      <c r="B16" s="15" t="s">
        <v>33</v>
      </c>
      <c r="C16" s="14" t="s">
        <v>18</v>
      </c>
      <c r="D16" s="14" t="s">
        <v>48</v>
      </c>
      <c r="E16" s="14" t="s">
        <v>49</v>
      </c>
      <c r="F16" s="14" t="s">
        <v>21</v>
      </c>
      <c r="G16" s="14" t="s">
        <v>29</v>
      </c>
      <c r="H16" s="14" t="s">
        <v>44</v>
      </c>
      <c r="I16" s="14" t="s">
        <v>45</v>
      </c>
      <c r="J16" s="14" t="s">
        <v>46</v>
      </c>
      <c r="K16" s="16">
        <v>6.0000000000000001E-3</v>
      </c>
      <c r="L16" s="17">
        <v>35906</v>
      </c>
      <c r="M16" s="18">
        <v>276.11458003000001</v>
      </c>
      <c r="N16" s="18">
        <v>277.51140167</v>
      </c>
      <c r="O16" s="18">
        <v>279.33629671</v>
      </c>
      <c r="P16" s="18">
        <v>274.69383520000002</v>
      </c>
      <c r="Q16" s="18">
        <v>279.90248967999997</v>
      </c>
      <c r="R16" s="18">
        <v>282.92694447000002</v>
      </c>
      <c r="S16" s="18">
        <v>283.65339804000001</v>
      </c>
      <c r="T16" s="18">
        <v>282.49653228</v>
      </c>
      <c r="U16" s="19">
        <v>2.3099999999999999E-2</v>
      </c>
      <c r="V16" s="19">
        <v>7.1099999999999997E-2</v>
      </c>
      <c r="W16" s="19">
        <v>4.1700000000000001E-2</v>
      </c>
      <c r="X16" s="19">
        <v>6.6400000000000001E-2</v>
      </c>
      <c r="Y16" s="19">
        <v>-4.2900000000000001E-2</v>
      </c>
      <c r="Z16" s="19">
        <v>9.7000000000000003E-3</v>
      </c>
      <c r="AA16" s="20">
        <v>14144669.91</v>
      </c>
      <c r="AB16" s="21">
        <f>IFERROR(AVERAGE($V16:$Z16),"")</f>
        <v>2.9200000000000004E-2</v>
      </c>
      <c r="AC16" s="21">
        <f>IFERROR(_xlfn.STDEV.P($V16:$Z16),"")</f>
        <v>4.2129229757972071E-2</v>
      </c>
    </row>
    <row r="17" spans="1:29" ht="14.25" customHeight="1" x14ac:dyDescent="0.3">
      <c r="A17" s="14" t="s">
        <v>58</v>
      </c>
      <c r="B17" s="15" t="s">
        <v>33</v>
      </c>
      <c r="C17" s="14" t="s">
        <v>28</v>
      </c>
      <c r="D17" s="14" t="s">
        <v>48</v>
      </c>
      <c r="E17" s="14" t="s">
        <v>53</v>
      </c>
      <c r="F17" s="14" t="s">
        <v>21</v>
      </c>
      <c r="G17" s="14" t="s">
        <v>59</v>
      </c>
      <c r="H17" s="14" t="s">
        <v>44</v>
      </c>
      <c r="I17" s="14" t="s">
        <v>45</v>
      </c>
      <c r="J17" s="14" t="s">
        <v>46</v>
      </c>
      <c r="K17" s="16">
        <v>8.5000000000000006E-3</v>
      </c>
      <c r="L17" s="17">
        <v>45324</v>
      </c>
      <c r="M17" s="18">
        <v>114.9196539</v>
      </c>
      <c r="N17" s="18">
        <v>115.54837507000001</v>
      </c>
      <c r="O17" s="18">
        <v>116.38184772</v>
      </c>
      <c r="P17" s="18">
        <v>114.01048178000001</v>
      </c>
      <c r="Q17" s="18">
        <v>115.93492663000001</v>
      </c>
      <c r="R17" s="18">
        <v>116.32070217</v>
      </c>
      <c r="S17" s="18">
        <v>116.46112456</v>
      </c>
      <c r="T17" s="18">
        <v>116.14167054000001</v>
      </c>
      <c r="U17" s="19">
        <v>1.06E-2</v>
      </c>
      <c r="V17" s="19">
        <v>7.5499999999999998E-2</v>
      </c>
      <c r="W17" s="19">
        <v>5.5899999999999998E-2</v>
      </c>
      <c r="X17" s="19" t="s">
        <v>26</v>
      </c>
      <c r="Y17" s="19" t="s">
        <v>26</v>
      </c>
      <c r="Z17" s="19" t="s">
        <v>26</v>
      </c>
      <c r="AA17" s="20">
        <v>131149436.56</v>
      </c>
      <c r="AB17" s="21">
        <f>IFERROR(AVERAGE($V17:$Z17),"")</f>
        <v>6.5699999999999995E-2</v>
      </c>
      <c r="AC17" s="21">
        <f>IFERROR(_xlfn.STDEV.P($V17:$Z17),"")</f>
        <v>9.8000000000000188E-3</v>
      </c>
    </row>
    <row r="18" spans="1:29" ht="14.25" customHeight="1" x14ac:dyDescent="0.3">
      <c r="A18" s="14" t="s">
        <v>60</v>
      </c>
      <c r="B18" s="15" t="s">
        <v>33</v>
      </c>
      <c r="C18" s="14" t="s">
        <v>28</v>
      </c>
      <c r="D18" s="14" t="s">
        <v>48</v>
      </c>
      <c r="E18" s="14" t="s">
        <v>53</v>
      </c>
      <c r="F18" s="14" t="s">
        <v>21</v>
      </c>
      <c r="G18" s="14" t="s">
        <v>22</v>
      </c>
      <c r="H18" s="14" t="s">
        <v>44</v>
      </c>
      <c r="I18" s="14" t="s">
        <v>24</v>
      </c>
      <c r="J18" s="14" t="s">
        <v>39</v>
      </c>
      <c r="K18" s="16">
        <v>5.0000000000000001E-3</v>
      </c>
      <c r="L18" s="17">
        <v>45384</v>
      </c>
      <c r="M18" s="18">
        <v>110.35603569</v>
      </c>
      <c r="N18" s="18">
        <v>110.66283624</v>
      </c>
      <c r="O18" s="18">
        <v>111.0384045</v>
      </c>
      <c r="P18" s="18">
        <v>111.28762472</v>
      </c>
      <c r="Q18" s="18">
        <v>111.63524965000001</v>
      </c>
      <c r="R18" s="18">
        <v>111.91178406</v>
      </c>
      <c r="S18" s="18">
        <v>112.22034069999999</v>
      </c>
      <c r="T18" s="18">
        <v>112.53872878999999</v>
      </c>
      <c r="U18" s="19">
        <v>1.9800000000000002E-2</v>
      </c>
      <c r="V18" s="19">
        <v>5.2299999999999999E-2</v>
      </c>
      <c r="W18" s="19">
        <v>4.3099999999999999E-2</v>
      </c>
      <c r="X18" s="19" t="s">
        <v>26</v>
      </c>
      <c r="Y18" s="19" t="s">
        <v>26</v>
      </c>
      <c r="Z18" s="19" t="s">
        <v>26</v>
      </c>
      <c r="AA18" s="20">
        <v>13571736.65</v>
      </c>
      <c r="AB18" s="21">
        <f>IFERROR(AVERAGE($V18:$Z18),"")</f>
        <v>4.7699999999999999E-2</v>
      </c>
      <c r="AC18" s="21">
        <f>IFERROR(_xlfn.STDEV.P($V18:$Z18),"")</f>
        <v>4.5999999999999999E-3</v>
      </c>
    </row>
    <row r="19" spans="1:29" ht="14.25" customHeight="1" x14ac:dyDescent="0.3">
      <c r="A19" s="14" t="s">
        <v>61</v>
      </c>
      <c r="B19" s="15" t="s">
        <v>33</v>
      </c>
      <c r="C19" s="14" t="s">
        <v>28</v>
      </c>
      <c r="D19" s="14" t="s">
        <v>48</v>
      </c>
      <c r="E19" s="14" t="s">
        <v>53</v>
      </c>
      <c r="F19" s="14" t="s">
        <v>21</v>
      </c>
      <c r="G19" s="14" t="s">
        <v>22</v>
      </c>
      <c r="H19" s="14" t="s">
        <v>44</v>
      </c>
      <c r="I19" s="14" t="s">
        <v>24</v>
      </c>
      <c r="J19" s="14" t="s">
        <v>39</v>
      </c>
      <c r="K19" s="16">
        <v>1E-3</v>
      </c>
      <c r="L19" s="17">
        <v>45280</v>
      </c>
      <c r="M19" s="18">
        <v>113.26362915999999</v>
      </c>
      <c r="N19" s="18">
        <v>113.6224978</v>
      </c>
      <c r="O19" s="18">
        <v>114.05573114000001</v>
      </c>
      <c r="P19" s="18">
        <v>114.34233537</v>
      </c>
      <c r="Q19" s="18">
        <v>114.78884373</v>
      </c>
      <c r="R19" s="18">
        <v>115.13303956999999</v>
      </c>
      <c r="S19" s="18">
        <v>115.50289410000001</v>
      </c>
      <c r="T19" s="18">
        <v>115.87478987999999</v>
      </c>
      <c r="U19" s="19">
        <v>2.3099999999999999E-2</v>
      </c>
      <c r="V19" s="19">
        <v>5.5E-2</v>
      </c>
      <c r="W19" s="19">
        <v>6.2700000000000006E-2</v>
      </c>
      <c r="X19" s="19">
        <v>2.3999999999999998E-3</v>
      </c>
      <c r="Y19" s="19" t="s">
        <v>26</v>
      </c>
      <c r="Z19" s="19" t="s">
        <v>26</v>
      </c>
      <c r="AA19" s="20">
        <v>14034904.16</v>
      </c>
      <c r="AB19" s="21">
        <f>IFERROR(AVERAGE($V19:$Z19),"")</f>
        <v>4.003333333333333E-2</v>
      </c>
      <c r="AC19" s="21">
        <f>IFERROR(_xlfn.STDEV.P($V19:$Z19),"")</f>
        <v>2.6795812276465058E-2</v>
      </c>
    </row>
    <row r="20" spans="1:29" ht="14.25" customHeight="1" x14ac:dyDescent="0.3">
      <c r="A20" s="14" t="s">
        <v>62</v>
      </c>
      <c r="B20" s="15" t="s">
        <v>33</v>
      </c>
      <c r="C20" s="14" t="s">
        <v>28</v>
      </c>
      <c r="D20" s="14" t="s">
        <v>48</v>
      </c>
      <c r="E20" s="14" t="s">
        <v>53</v>
      </c>
      <c r="F20" s="14" t="s">
        <v>21</v>
      </c>
      <c r="G20" s="14" t="s">
        <v>22</v>
      </c>
      <c r="H20" s="14" t="s">
        <v>23</v>
      </c>
      <c r="I20" s="14" t="s">
        <v>24</v>
      </c>
      <c r="J20" s="14" t="s">
        <v>35</v>
      </c>
      <c r="K20" s="16">
        <v>7.0000000000000001E-3</v>
      </c>
      <c r="L20" s="17">
        <v>36693</v>
      </c>
      <c r="M20" s="18">
        <v>188.57462032000001</v>
      </c>
      <c r="N20" s="18">
        <v>189.17974960000001</v>
      </c>
      <c r="O20" s="18">
        <v>189.84114112</v>
      </c>
      <c r="P20" s="18">
        <v>189.69091589999999</v>
      </c>
      <c r="Q20" s="18">
        <v>190.51535773000001</v>
      </c>
      <c r="R20" s="18">
        <v>190.86681016</v>
      </c>
      <c r="S20" s="18">
        <v>191.45303698000001</v>
      </c>
      <c r="T20" s="18">
        <v>191.9093159</v>
      </c>
      <c r="U20" s="19">
        <v>1.77E-2</v>
      </c>
      <c r="V20" s="19">
        <v>4.8899999999999999E-2</v>
      </c>
      <c r="W20" s="19">
        <v>5.2200000000000003E-2</v>
      </c>
      <c r="X20" s="19">
        <v>4.65E-2</v>
      </c>
      <c r="Y20" s="19">
        <v>3.5999999999999999E-3</v>
      </c>
      <c r="Z20" s="19">
        <v>2.0999999999999999E-3</v>
      </c>
      <c r="AA20" s="20">
        <v>2735524322.6100001</v>
      </c>
      <c r="AB20" s="21">
        <f>IFERROR(AVERAGE($V20:$Z20),"")</f>
        <v>3.066E-2</v>
      </c>
      <c r="AC20" s="21">
        <f>IFERROR(_xlfn.STDEV.P($V20:$Z20),"")</f>
        <v>2.2783731037738317E-2</v>
      </c>
    </row>
    <row r="21" spans="1:29" ht="14.25" customHeight="1" x14ac:dyDescent="0.3">
      <c r="A21" s="14" t="s">
        <v>63</v>
      </c>
      <c r="B21" s="15" t="s">
        <v>33</v>
      </c>
      <c r="C21" s="14" t="s">
        <v>28</v>
      </c>
      <c r="D21" s="14" t="s">
        <v>48</v>
      </c>
      <c r="E21" s="14" t="s">
        <v>53</v>
      </c>
      <c r="F21" s="14" t="s">
        <v>21</v>
      </c>
      <c r="G21" s="14" t="s">
        <v>22</v>
      </c>
      <c r="H21" s="14" t="s">
        <v>54</v>
      </c>
      <c r="I21" s="14" t="s">
        <v>24</v>
      </c>
      <c r="J21" s="14" t="s">
        <v>55</v>
      </c>
      <c r="K21" s="16">
        <v>8.9999999999999993E-3</v>
      </c>
      <c r="L21" s="17">
        <v>35724</v>
      </c>
      <c r="M21" s="18">
        <v>221.19715701999999</v>
      </c>
      <c r="N21" s="18">
        <v>221.79010538</v>
      </c>
      <c r="O21" s="18">
        <v>222.82909669</v>
      </c>
      <c r="P21" s="18">
        <v>219.92765367999999</v>
      </c>
      <c r="Q21" s="18">
        <v>222.41898137000001</v>
      </c>
      <c r="R21" s="18">
        <v>222.57345713000001</v>
      </c>
      <c r="S21" s="18">
        <v>223.58358558</v>
      </c>
      <c r="T21" s="18">
        <v>223.37727831000001</v>
      </c>
      <c r="U21" s="19">
        <v>9.9000000000000008E-3</v>
      </c>
      <c r="V21" s="19">
        <v>7.1900000000000006E-2</v>
      </c>
      <c r="W21" s="19">
        <v>4.8599999999999997E-2</v>
      </c>
      <c r="X21" s="19">
        <v>6.0699999999999997E-2</v>
      </c>
      <c r="Y21" s="19">
        <v>-3.6600000000000001E-2</v>
      </c>
      <c r="Z21" s="19">
        <v>-2.6800000000000001E-2</v>
      </c>
      <c r="AA21" s="20">
        <v>627582112.99000001</v>
      </c>
      <c r="AB21" s="21">
        <f>IFERROR(AVERAGE($V21:$Z21),"")</f>
        <v>2.3560000000000001E-2</v>
      </c>
      <c r="AC21" s="21">
        <f>IFERROR(_xlfn.STDEV.P($V21:$Z21),"")</f>
        <v>4.5822466105612435E-2</v>
      </c>
    </row>
    <row r="22" spans="1:29" ht="14.25" customHeight="1" x14ac:dyDescent="0.3">
      <c r="A22" s="14" t="s">
        <v>64</v>
      </c>
      <c r="B22" s="15" t="s">
        <v>33</v>
      </c>
      <c r="C22" s="14" t="s">
        <v>28</v>
      </c>
      <c r="D22" s="14" t="s">
        <v>48</v>
      </c>
      <c r="E22" s="14" t="s">
        <v>53</v>
      </c>
      <c r="F22" s="14" t="s">
        <v>65</v>
      </c>
      <c r="G22" s="14" t="s">
        <v>66</v>
      </c>
      <c r="H22" s="14" t="s">
        <v>44</v>
      </c>
      <c r="I22" s="14" t="s">
        <v>45</v>
      </c>
      <c r="J22" s="14" t="s">
        <v>46</v>
      </c>
      <c r="K22" s="16">
        <v>8.5000000000000006E-3</v>
      </c>
      <c r="L22" s="17">
        <v>44384</v>
      </c>
      <c r="M22" s="18">
        <v>113.62399858000001</v>
      </c>
      <c r="N22" s="18">
        <v>114.12499588</v>
      </c>
      <c r="O22" s="18">
        <v>114.33069869000001</v>
      </c>
      <c r="P22" s="18">
        <v>112.47700847</v>
      </c>
      <c r="Q22" s="18">
        <v>114.58128754000001</v>
      </c>
      <c r="R22" s="18">
        <v>114.96815798</v>
      </c>
      <c r="S22" s="18">
        <v>115.24376873999999</v>
      </c>
      <c r="T22" s="18">
        <v>114.75867976000001</v>
      </c>
      <c r="U22" s="19">
        <v>0.01</v>
      </c>
      <c r="V22" s="19">
        <v>7.3099999999999998E-2</v>
      </c>
      <c r="W22" s="19">
        <v>5.8299999999999998E-2</v>
      </c>
      <c r="X22" s="19">
        <v>0.1227</v>
      </c>
      <c r="Y22" s="19">
        <v>-0.11700000000000001</v>
      </c>
      <c r="Z22" s="19">
        <v>7.4000000000000003E-3</v>
      </c>
      <c r="AA22" s="20">
        <v>65597433.469999999</v>
      </c>
      <c r="AB22" s="21">
        <f>IFERROR(AVERAGE($V22:$Z22),"")</f>
        <v>2.8899999999999999E-2</v>
      </c>
      <c r="AC22" s="21">
        <f>IFERROR(_xlfn.STDEV.P($V22:$Z22),"")</f>
        <v>8.168904455311006E-2</v>
      </c>
    </row>
    <row r="23" spans="1:29" ht="14.25" customHeight="1" x14ac:dyDescent="0.3">
      <c r="A23" s="14" t="s">
        <v>67</v>
      </c>
      <c r="B23" s="15" t="s">
        <v>33</v>
      </c>
      <c r="C23" s="14" t="s">
        <v>28</v>
      </c>
      <c r="D23" s="14" t="s">
        <v>48</v>
      </c>
      <c r="E23" s="14" t="s">
        <v>49</v>
      </c>
      <c r="F23" s="14" t="s">
        <v>21</v>
      </c>
      <c r="G23" s="14" t="s">
        <v>29</v>
      </c>
      <c r="H23" s="14" t="s">
        <v>44</v>
      </c>
      <c r="I23" s="14" t="s">
        <v>45</v>
      </c>
      <c r="J23" s="14" t="s">
        <v>46</v>
      </c>
      <c r="K23" s="16">
        <v>8.0000000000000002E-3</v>
      </c>
      <c r="L23" s="17">
        <v>43229</v>
      </c>
      <c r="M23" s="18">
        <v>126.33957177000001</v>
      </c>
      <c r="N23" s="18">
        <v>126.94990749999999</v>
      </c>
      <c r="O23" s="18">
        <v>128.00134922999999</v>
      </c>
      <c r="P23" s="18">
        <v>124.6184918</v>
      </c>
      <c r="Q23" s="18">
        <v>125.88861118</v>
      </c>
      <c r="R23" s="18">
        <v>126.62146663999999</v>
      </c>
      <c r="S23" s="18">
        <v>127.80064969</v>
      </c>
      <c r="T23" s="18">
        <v>126.11231442</v>
      </c>
      <c r="U23" s="19">
        <v>-1.8E-3</v>
      </c>
      <c r="V23" s="19">
        <v>9.0399999999999994E-2</v>
      </c>
      <c r="W23" s="19">
        <v>4.2799999999999998E-2</v>
      </c>
      <c r="X23" s="19">
        <v>7.1499999999999994E-2</v>
      </c>
      <c r="Y23" s="19">
        <v>-8.7300000000000003E-2</v>
      </c>
      <c r="Z23" s="19">
        <v>7.1999999999999998E-3</v>
      </c>
      <c r="AA23" s="20">
        <v>508566906.29000002</v>
      </c>
      <c r="AB23" s="21">
        <f>IFERROR(AVERAGE($V23:$Z23),"")</f>
        <v>2.4919999999999998E-2</v>
      </c>
      <c r="AC23" s="21">
        <f>IFERROR(_xlfn.STDEV.P($V23:$Z23),"")</f>
        <v>6.2744478641550611E-2</v>
      </c>
    </row>
    <row r="24" spans="1:29" ht="14.25" customHeight="1" x14ac:dyDescent="0.3">
      <c r="A24" s="14" t="s">
        <v>68</v>
      </c>
      <c r="B24" s="15" t="s">
        <v>33</v>
      </c>
      <c r="C24" s="14" t="s">
        <v>28</v>
      </c>
      <c r="D24" s="14" t="s">
        <v>48</v>
      </c>
      <c r="E24" s="14" t="s">
        <v>49</v>
      </c>
      <c r="F24" s="14" t="s">
        <v>21</v>
      </c>
      <c r="G24" s="14" t="s">
        <v>29</v>
      </c>
      <c r="H24" s="14" t="s">
        <v>44</v>
      </c>
      <c r="I24" s="14" t="s">
        <v>45</v>
      </c>
      <c r="J24" s="14" t="s">
        <v>46</v>
      </c>
      <c r="K24" s="16">
        <v>6.0000000000000001E-3</v>
      </c>
      <c r="L24" s="17">
        <v>37413</v>
      </c>
      <c r="M24" s="18">
        <v>184.71306673000001</v>
      </c>
      <c r="N24" s="18">
        <v>185.30467988999999</v>
      </c>
      <c r="O24" s="18">
        <v>186.51532895</v>
      </c>
      <c r="P24" s="18">
        <v>183.29584424000001</v>
      </c>
      <c r="Q24" s="18">
        <v>186.59888803000001</v>
      </c>
      <c r="R24" s="18">
        <v>188.23102677</v>
      </c>
      <c r="S24" s="18">
        <v>188.48868490000001</v>
      </c>
      <c r="T24" s="18">
        <v>187.46237504000001</v>
      </c>
      <c r="U24" s="19">
        <v>1.49E-2</v>
      </c>
      <c r="V24" s="19">
        <v>6.7500000000000004E-2</v>
      </c>
      <c r="W24" s="19">
        <v>4.4999999999999998E-2</v>
      </c>
      <c r="X24" s="19">
        <v>5.1400000000000001E-2</v>
      </c>
      <c r="Y24" s="19">
        <v>-5.8900000000000001E-2</v>
      </c>
      <c r="Z24" s="19">
        <v>1.44E-2</v>
      </c>
      <c r="AA24" s="20">
        <v>13928976.630000001</v>
      </c>
      <c r="AB24" s="21">
        <f>IFERROR(AVERAGE($V24:$Z24),"")</f>
        <v>2.3879999999999995E-2</v>
      </c>
      <c r="AC24" s="21">
        <f>IFERROR(_xlfn.STDEV.P($V24:$Z24),"")</f>
        <v>4.4829695515361249E-2</v>
      </c>
    </row>
    <row r="25" spans="1:29" ht="14.25" customHeight="1" x14ac:dyDescent="0.3">
      <c r="A25" s="14" t="s">
        <v>69</v>
      </c>
      <c r="B25" s="15" t="s">
        <v>33</v>
      </c>
      <c r="C25" s="14" t="s">
        <v>28</v>
      </c>
      <c r="D25" s="14" t="s">
        <v>48</v>
      </c>
      <c r="E25" s="14" t="s">
        <v>49</v>
      </c>
      <c r="F25" s="14" t="s">
        <v>21</v>
      </c>
      <c r="G25" s="14" t="s">
        <v>29</v>
      </c>
      <c r="H25" s="14" t="s">
        <v>44</v>
      </c>
      <c r="I25" s="14" t="s">
        <v>45</v>
      </c>
      <c r="J25" s="14" t="s">
        <v>46</v>
      </c>
      <c r="K25" s="16">
        <v>8.0000000000000002E-3</v>
      </c>
      <c r="L25" s="17">
        <v>40238</v>
      </c>
      <c r="M25" s="18">
        <v>104.11374008999999</v>
      </c>
      <c r="N25" s="18">
        <v>104.95148949999999</v>
      </c>
      <c r="O25" s="18">
        <v>105.57000148</v>
      </c>
      <c r="P25" s="18">
        <v>103.16719901</v>
      </c>
      <c r="Q25" s="18">
        <v>104.3151732</v>
      </c>
      <c r="R25" s="18">
        <v>105.30454551</v>
      </c>
      <c r="S25" s="18">
        <v>106.00378085</v>
      </c>
      <c r="T25" s="18">
        <v>105.43739134</v>
      </c>
      <c r="U25" s="19">
        <v>1.2699999999999999E-2</v>
      </c>
      <c r="V25" s="19">
        <v>5.96E-2</v>
      </c>
      <c r="W25" s="19">
        <v>1.6799999999999999E-2</v>
      </c>
      <c r="X25" s="19">
        <v>5.6300000000000003E-2</v>
      </c>
      <c r="Y25" s="19">
        <v>-0.14299999999999999</v>
      </c>
      <c r="Z25" s="19">
        <v>2.3699999999999999E-2</v>
      </c>
      <c r="AA25" s="20">
        <v>44108448.829999998</v>
      </c>
      <c r="AB25" s="21">
        <f>IFERROR(AVERAGE($V25:$Z25),"")</f>
        <v>2.6799999999999992E-3</v>
      </c>
      <c r="AC25" s="21">
        <f>IFERROR(_xlfn.STDEV.P($V25:$Z25),"")</f>
        <v>7.4804903582586083E-2</v>
      </c>
    </row>
    <row r="26" spans="1:29" ht="14.25" customHeight="1" x14ac:dyDescent="0.3">
      <c r="A26" s="14" t="s">
        <v>70</v>
      </c>
      <c r="B26" s="15" t="s">
        <v>33</v>
      </c>
      <c r="C26" s="14" t="s">
        <v>28</v>
      </c>
      <c r="D26" s="14" t="s">
        <v>41</v>
      </c>
      <c r="E26" s="14" t="s">
        <v>71</v>
      </c>
      <c r="F26" s="14" t="s">
        <v>43</v>
      </c>
      <c r="G26" s="14" t="s">
        <v>29</v>
      </c>
      <c r="H26" s="14" t="s">
        <v>44</v>
      </c>
      <c r="I26" s="14" t="s">
        <v>45</v>
      </c>
      <c r="J26" s="14" t="s">
        <v>46</v>
      </c>
      <c r="K26" s="16">
        <v>0.01</v>
      </c>
      <c r="L26" s="17">
        <v>44942</v>
      </c>
      <c r="M26" s="18">
        <v>151.59042840999999</v>
      </c>
      <c r="N26" s="18">
        <v>149.13966475000001</v>
      </c>
      <c r="O26" s="18">
        <v>145.73788224</v>
      </c>
      <c r="P26" s="18">
        <v>132.88738767999999</v>
      </c>
      <c r="Q26" s="18">
        <v>149.90556290999999</v>
      </c>
      <c r="R26" s="18">
        <v>159.82509897</v>
      </c>
      <c r="S26" s="18">
        <v>154.02624397</v>
      </c>
      <c r="T26" s="18">
        <v>153.17679029999999</v>
      </c>
      <c r="U26" s="19">
        <v>1.0500000000000001E-2</v>
      </c>
      <c r="V26" s="19">
        <v>0.12939999999999999</v>
      </c>
      <c r="W26" s="19">
        <v>0.23350000000000001</v>
      </c>
      <c r="X26" s="19">
        <v>8.1299999999999997E-2</v>
      </c>
      <c r="Y26" s="19" t="s">
        <v>26</v>
      </c>
      <c r="Z26" s="19" t="s">
        <v>26</v>
      </c>
      <c r="AA26" s="20">
        <v>27683131.629999999</v>
      </c>
      <c r="AB26" s="21">
        <f>IFERROR(AVERAGE($V26:$Z26),"")</f>
        <v>0.14806666666666665</v>
      </c>
      <c r="AC26" s="21">
        <f>IFERROR(_xlfn.STDEV.P($V26:$Z26),"")</f>
        <v>6.3521877246259767E-2</v>
      </c>
    </row>
    <row r="27" spans="1:29" ht="14.25" customHeight="1" x14ac:dyDescent="0.3">
      <c r="A27" s="14" t="s">
        <v>72</v>
      </c>
      <c r="B27" s="15" t="s">
        <v>33</v>
      </c>
      <c r="C27" s="14" t="s">
        <v>28</v>
      </c>
      <c r="D27" s="14" t="s">
        <v>41</v>
      </c>
      <c r="E27" s="14" t="s">
        <v>71</v>
      </c>
      <c r="F27" s="14" t="s">
        <v>73</v>
      </c>
      <c r="G27" s="14" t="s">
        <v>29</v>
      </c>
      <c r="H27" s="14" t="s">
        <v>44</v>
      </c>
      <c r="I27" s="14" t="s">
        <v>45</v>
      </c>
      <c r="J27" s="14" t="s">
        <v>46</v>
      </c>
      <c r="K27" s="16">
        <v>0.01</v>
      </c>
      <c r="L27" s="17">
        <v>41663</v>
      </c>
      <c r="M27" s="18">
        <v>175.56433412999999</v>
      </c>
      <c r="N27" s="18">
        <v>179.84510108000001</v>
      </c>
      <c r="O27" s="18">
        <v>175.80254350999999</v>
      </c>
      <c r="P27" s="18">
        <v>163.95098741999999</v>
      </c>
      <c r="Q27" s="18">
        <v>188.79762858999999</v>
      </c>
      <c r="R27" s="18">
        <v>206.09583046</v>
      </c>
      <c r="S27" s="18">
        <v>195.26949458000001</v>
      </c>
      <c r="T27" s="18">
        <v>193.51698279999999</v>
      </c>
      <c r="U27" s="19">
        <v>0.1023</v>
      </c>
      <c r="V27" s="19">
        <v>0.2611</v>
      </c>
      <c r="W27" s="19">
        <v>8.8300000000000003E-2</v>
      </c>
      <c r="X27" s="19">
        <v>0.13719999999999999</v>
      </c>
      <c r="Y27" s="19">
        <v>-9.4E-2</v>
      </c>
      <c r="Z27" s="19">
        <v>9.7299999999999998E-2</v>
      </c>
      <c r="AA27" s="20">
        <v>96969557.040000007</v>
      </c>
      <c r="AB27" s="21">
        <f>IFERROR(AVERAGE($V27:$Z27),"")</f>
        <v>9.7979999999999984E-2</v>
      </c>
      <c r="AC27" s="21">
        <f>IFERROR(_xlfn.STDEV.P($V27:$Z27),"")</f>
        <v>0.11410243468042212</v>
      </c>
    </row>
    <row r="28" spans="1:29" ht="14.25" customHeight="1" x14ac:dyDescent="0.3">
      <c r="A28" s="14" t="s">
        <v>74</v>
      </c>
      <c r="B28" s="15" t="s">
        <v>33</v>
      </c>
      <c r="C28" s="14" t="s">
        <v>28</v>
      </c>
      <c r="D28" s="14" t="s">
        <v>41</v>
      </c>
      <c r="E28" s="14" t="s">
        <v>71</v>
      </c>
      <c r="F28" s="14" t="s">
        <v>43</v>
      </c>
      <c r="G28" s="14" t="s">
        <v>29</v>
      </c>
      <c r="H28" s="14" t="s">
        <v>44</v>
      </c>
      <c r="I28" s="14" t="s">
        <v>45</v>
      </c>
      <c r="J28" s="14" t="s">
        <v>46</v>
      </c>
      <c r="K28" s="16">
        <v>0.01</v>
      </c>
      <c r="L28" s="17">
        <v>44783</v>
      </c>
      <c r="M28" s="18">
        <v>97.491947049999993</v>
      </c>
      <c r="N28" s="18">
        <v>100.01329277000001</v>
      </c>
      <c r="O28" s="18">
        <v>106.65952131</v>
      </c>
      <c r="P28" s="18">
        <v>97.842364860000004</v>
      </c>
      <c r="Q28" s="18">
        <v>105.53209835</v>
      </c>
      <c r="R28" s="18">
        <v>106.23764712000001</v>
      </c>
      <c r="S28" s="18">
        <v>104.17158927</v>
      </c>
      <c r="T28" s="18">
        <v>104.52060099000001</v>
      </c>
      <c r="U28" s="19">
        <v>7.2099999999999997E-2</v>
      </c>
      <c r="V28" s="19">
        <v>7.0199999999999999E-2</v>
      </c>
      <c r="W28" s="19">
        <v>-6.7999999999999996E-3</v>
      </c>
      <c r="X28" s="19">
        <v>6.5299999999999997E-2</v>
      </c>
      <c r="Y28" s="19">
        <v>-0.14050000000000001</v>
      </c>
      <c r="Z28" s="19" t="s">
        <v>26</v>
      </c>
      <c r="AA28" s="20">
        <v>17277869.039999999</v>
      </c>
      <c r="AB28" s="21">
        <f>IFERROR(AVERAGE($V28:$Z28),"")</f>
        <v>-2.9500000000000082E-3</v>
      </c>
      <c r="AC28" s="21">
        <f>IFERROR(_xlfn.STDEV.P($V28:$Z28),"")</f>
        <v>8.5064402072782486E-2</v>
      </c>
    </row>
    <row r="29" spans="1:29" ht="14.25" customHeight="1" x14ac:dyDescent="0.3">
      <c r="A29" s="14" t="s">
        <v>75</v>
      </c>
      <c r="B29" s="15" t="s">
        <v>33</v>
      </c>
      <c r="C29" s="14" t="s">
        <v>28</v>
      </c>
      <c r="D29" s="14" t="s">
        <v>41</v>
      </c>
      <c r="E29" s="14" t="s">
        <v>71</v>
      </c>
      <c r="F29" s="14" t="s">
        <v>43</v>
      </c>
      <c r="G29" s="14" t="s">
        <v>29</v>
      </c>
      <c r="H29" s="14" t="s">
        <v>44</v>
      </c>
      <c r="I29" s="14" t="s">
        <v>45</v>
      </c>
      <c r="J29" s="14" t="s">
        <v>46</v>
      </c>
      <c r="K29" s="16">
        <v>0.01</v>
      </c>
      <c r="L29" s="17">
        <v>40283</v>
      </c>
      <c r="M29" s="18">
        <v>121.42604828</v>
      </c>
      <c r="N29" s="18">
        <v>120.30520683</v>
      </c>
      <c r="O29" s="18">
        <v>117.7817112</v>
      </c>
      <c r="P29" s="18">
        <v>109.60448841</v>
      </c>
      <c r="Q29" s="18">
        <v>117.98592334999999</v>
      </c>
      <c r="R29" s="18">
        <v>121.27112513</v>
      </c>
      <c r="S29" s="18">
        <v>119.01422155</v>
      </c>
      <c r="T29" s="18">
        <v>120.9108779</v>
      </c>
      <c r="U29" s="19">
        <v>-4.1999999999999997E-3</v>
      </c>
      <c r="V29" s="19">
        <v>1.17E-2</v>
      </c>
      <c r="W29" s="19">
        <v>7.0000000000000007E-2</v>
      </c>
      <c r="X29" s="19">
        <v>0.1328</v>
      </c>
      <c r="Y29" s="19">
        <v>-0.2334</v>
      </c>
      <c r="Z29" s="19">
        <v>6.7599999999999993E-2</v>
      </c>
      <c r="AA29" s="20">
        <v>37056813.460000001</v>
      </c>
      <c r="AB29" s="21">
        <f>IFERROR(AVERAGE($V29:$Z29),"")</f>
        <v>9.7400000000000039E-3</v>
      </c>
      <c r="AC29" s="21">
        <f>IFERROR(_xlfn.STDEV.P($V29:$Z29),"")</f>
        <v>0.12747055503134833</v>
      </c>
    </row>
    <row r="30" spans="1:29" ht="14.25" customHeight="1" x14ac:dyDescent="0.3">
      <c r="A30" s="14" t="s">
        <v>76</v>
      </c>
      <c r="B30" s="15" t="s">
        <v>77</v>
      </c>
      <c r="C30" s="14" t="s">
        <v>28</v>
      </c>
      <c r="D30" s="14" t="s">
        <v>78</v>
      </c>
      <c r="E30" s="14" t="s">
        <v>79</v>
      </c>
      <c r="F30" s="14" t="s">
        <v>80</v>
      </c>
      <c r="G30" s="14" t="s">
        <v>29</v>
      </c>
      <c r="H30" s="14" t="s">
        <v>54</v>
      </c>
      <c r="I30" s="14" t="s">
        <v>24</v>
      </c>
      <c r="J30" s="14" t="s">
        <v>81</v>
      </c>
      <c r="K30" s="16">
        <v>8.8000000000000005E-3</v>
      </c>
      <c r="L30" s="17">
        <v>44271</v>
      </c>
      <c r="M30" s="18">
        <v>103.35051172999999</v>
      </c>
      <c r="N30" s="18">
        <v>104.01458275</v>
      </c>
      <c r="O30" s="18">
        <v>104.59327983</v>
      </c>
      <c r="P30" s="18">
        <v>105.27351683000001</v>
      </c>
      <c r="Q30" s="18">
        <v>105.92134541999999</v>
      </c>
      <c r="R30" s="18">
        <v>106.5836346</v>
      </c>
      <c r="S30" s="18">
        <v>107.25573328</v>
      </c>
      <c r="T30" s="18">
        <v>107.9400036</v>
      </c>
      <c r="U30" s="19">
        <v>4.4400000000000002E-2</v>
      </c>
      <c r="V30" s="19">
        <v>7.8700000000000006E-2</v>
      </c>
      <c r="W30" s="19">
        <v>9.6500000000000002E-2</v>
      </c>
      <c r="X30" s="19">
        <v>-1.8499999999999999E-2</v>
      </c>
      <c r="Y30" s="19">
        <v>-0.14710000000000001</v>
      </c>
      <c r="Z30" s="19">
        <v>4.3700000000000003E-2</v>
      </c>
      <c r="AA30" s="20">
        <v>16280001.279999999</v>
      </c>
      <c r="AB30" s="21">
        <f>IFERROR(AVERAGE($V30:$Z30),"")</f>
        <v>1.0660000000000006E-2</v>
      </c>
      <c r="AC30" s="21">
        <f>IFERROR(_xlfn.STDEV.P($V30:$Z30),"")</f>
        <v>8.8122768907927543E-2</v>
      </c>
    </row>
    <row r="31" spans="1:29" ht="14.25" customHeight="1" x14ac:dyDescent="0.3">
      <c r="A31" s="14" t="s">
        <v>82</v>
      </c>
      <c r="B31" s="15" t="s">
        <v>83</v>
      </c>
      <c r="C31" s="14" t="s">
        <v>28</v>
      </c>
      <c r="D31" s="14" t="s">
        <v>41</v>
      </c>
      <c r="E31" s="14" t="s">
        <v>71</v>
      </c>
      <c r="F31" s="14" t="s">
        <v>43</v>
      </c>
      <c r="G31" s="14" t="s">
        <v>29</v>
      </c>
      <c r="H31" s="14" t="s">
        <v>44</v>
      </c>
      <c r="I31" s="14" t="s">
        <v>24</v>
      </c>
      <c r="J31" s="14" t="s">
        <v>46</v>
      </c>
      <c r="K31" s="16">
        <v>1.0999999999999999E-2</v>
      </c>
      <c r="L31" s="17">
        <v>44827</v>
      </c>
      <c r="M31" s="18">
        <v>15.555153020000001</v>
      </c>
      <c r="N31" s="18">
        <v>15.778872979999999</v>
      </c>
      <c r="O31" s="18">
        <v>15.968939750000001</v>
      </c>
      <c r="P31" s="18">
        <v>14.628252720000001</v>
      </c>
      <c r="Q31" s="18">
        <v>15.940964790000001</v>
      </c>
      <c r="R31" s="18">
        <v>16.675548679999999</v>
      </c>
      <c r="S31" s="18">
        <v>16.493374599999999</v>
      </c>
      <c r="T31" s="18">
        <v>16.41589445</v>
      </c>
      <c r="U31" s="19">
        <v>5.5300000000000002E-2</v>
      </c>
      <c r="V31" s="19">
        <v>0.18729999999999999</v>
      </c>
      <c r="W31" s="19">
        <v>9.4799999999999995E-2</v>
      </c>
      <c r="X31" s="19">
        <v>0.13450000000000001</v>
      </c>
      <c r="Y31" s="19">
        <v>4.8899999999999999E-2</v>
      </c>
      <c r="Z31" s="19" t="s">
        <v>26</v>
      </c>
      <c r="AA31" s="20">
        <v>-21217283.399999999</v>
      </c>
      <c r="AB31" s="21">
        <f>IFERROR(AVERAGE($V31:$Z31),"")</f>
        <v>0.11637500000000001</v>
      </c>
      <c r="AC31" s="21">
        <f>IFERROR(_xlfn.STDEV.P($V31:$Z31),"")</f>
        <v>5.0934338858966262E-2</v>
      </c>
    </row>
    <row r="32" spans="1:29" ht="14.25" customHeight="1" x14ac:dyDescent="0.3">
      <c r="A32" s="14" t="s">
        <v>84</v>
      </c>
      <c r="B32" s="15" t="s">
        <v>83</v>
      </c>
      <c r="C32" s="14" t="s">
        <v>28</v>
      </c>
      <c r="D32" s="14" t="s">
        <v>41</v>
      </c>
      <c r="E32" s="14" t="s">
        <v>71</v>
      </c>
      <c r="F32" s="14" t="s">
        <v>43</v>
      </c>
      <c r="G32" s="14" t="s">
        <v>29</v>
      </c>
      <c r="H32" s="14" t="s">
        <v>44</v>
      </c>
      <c r="I32" s="14" t="s">
        <v>24</v>
      </c>
      <c r="J32" s="14" t="s">
        <v>46</v>
      </c>
      <c r="K32" s="16">
        <v>9.4999999999999998E-3</v>
      </c>
      <c r="L32" s="17">
        <v>44827</v>
      </c>
      <c r="M32" s="18">
        <v>15.447475750000001</v>
      </c>
      <c r="N32" s="18">
        <v>15.66606146</v>
      </c>
      <c r="O32" s="18">
        <v>15.851485370000001</v>
      </c>
      <c r="P32" s="18">
        <v>14.519427629999999</v>
      </c>
      <c r="Q32" s="18">
        <v>15.81764656</v>
      </c>
      <c r="R32" s="18">
        <v>16.542709349999999</v>
      </c>
      <c r="S32" s="18">
        <v>16.358787450000001</v>
      </c>
      <c r="T32" s="18">
        <v>16.278703950000001</v>
      </c>
      <c r="U32" s="19">
        <v>5.3800000000000001E-2</v>
      </c>
      <c r="V32" s="19">
        <v>0.18329999999999999</v>
      </c>
      <c r="W32" s="19">
        <v>9.2999999999999999E-2</v>
      </c>
      <c r="X32" s="19">
        <v>0.13250000000000001</v>
      </c>
      <c r="Y32" s="19">
        <v>4.8399999999999999E-2</v>
      </c>
      <c r="Z32" s="19" t="s">
        <v>26</v>
      </c>
      <c r="AA32" s="20">
        <v>-21217283.399999999</v>
      </c>
      <c r="AB32" s="21">
        <f>IFERROR(AVERAGE($V32:$Z32),"")</f>
        <v>0.1143</v>
      </c>
      <c r="AC32" s="21">
        <f>IFERROR(_xlfn.STDEV.P($V32:$Z32),"")</f>
        <v>4.9721071991661647E-2</v>
      </c>
    </row>
    <row r="33" spans="1:29" ht="14.25" customHeight="1" x14ac:dyDescent="0.3">
      <c r="A33" s="14" t="s">
        <v>85</v>
      </c>
      <c r="B33" s="15" t="s">
        <v>83</v>
      </c>
      <c r="C33" s="14" t="s">
        <v>28</v>
      </c>
      <c r="D33" s="14" t="s">
        <v>41</v>
      </c>
      <c r="E33" s="14" t="s">
        <v>71</v>
      </c>
      <c r="F33" s="14" t="s">
        <v>43</v>
      </c>
      <c r="G33" s="14" t="s">
        <v>66</v>
      </c>
      <c r="H33" s="14" t="s">
        <v>44</v>
      </c>
      <c r="I33" s="14" t="s">
        <v>45</v>
      </c>
      <c r="J33" s="14" t="s">
        <v>46</v>
      </c>
      <c r="K33" s="16">
        <v>8.0000000000000002E-3</v>
      </c>
      <c r="L33" s="17">
        <v>45580</v>
      </c>
      <c r="M33" s="18">
        <v>11.671363599999999</v>
      </c>
      <c r="N33" s="18">
        <v>11.726861209999999</v>
      </c>
      <c r="O33" s="18">
        <v>11.635756750000001</v>
      </c>
      <c r="P33" s="18">
        <v>10.92897673</v>
      </c>
      <c r="Q33" s="18">
        <v>12.10174632</v>
      </c>
      <c r="R33" s="18">
        <v>12.7703548</v>
      </c>
      <c r="S33" s="18">
        <v>12.58628036</v>
      </c>
      <c r="T33" s="18">
        <v>12.50264894</v>
      </c>
      <c r="U33" s="19">
        <v>7.1199999999999999E-2</v>
      </c>
      <c r="V33" s="19">
        <v>0.14860000000000001</v>
      </c>
      <c r="W33" s="19">
        <v>1.2200000000000001E-2</v>
      </c>
      <c r="X33" s="19" t="s">
        <v>26</v>
      </c>
      <c r="Y33" s="19" t="s">
        <v>26</v>
      </c>
      <c r="Z33" s="19" t="s">
        <v>26</v>
      </c>
      <c r="AA33" s="20">
        <v>-14880439.460000001</v>
      </c>
      <c r="AB33" s="21">
        <f>IFERROR(AVERAGE($V33:$Z33),"")</f>
        <v>8.0399999999999999E-2</v>
      </c>
      <c r="AC33" s="21">
        <f>IFERROR(_xlfn.STDEV.P($V33:$Z33),"")</f>
        <v>6.8200000000000024E-2</v>
      </c>
    </row>
    <row r="34" spans="1:29" ht="14.25" customHeight="1" x14ac:dyDescent="0.3">
      <c r="A34" s="14" t="s">
        <v>86</v>
      </c>
      <c r="B34" s="15" t="s">
        <v>83</v>
      </c>
      <c r="C34" s="14" t="s">
        <v>28</v>
      </c>
      <c r="D34" s="14" t="s">
        <v>41</v>
      </c>
      <c r="E34" s="14" t="s">
        <v>71</v>
      </c>
      <c r="F34" s="14" t="s">
        <v>43</v>
      </c>
      <c r="G34" s="14" t="s">
        <v>66</v>
      </c>
      <c r="H34" s="14" t="s">
        <v>44</v>
      </c>
      <c r="I34" s="14" t="s">
        <v>45</v>
      </c>
      <c r="J34" s="14" t="s">
        <v>46</v>
      </c>
      <c r="K34" s="16">
        <v>8.0000000000000002E-3</v>
      </c>
      <c r="L34" s="17">
        <v>45580</v>
      </c>
      <c r="M34" s="18">
        <v>11.586290249999999</v>
      </c>
      <c r="N34" s="18">
        <v>11.635472289999999</v>
      </c>
      <c r="O34" s="18">
        <v>11.53977143</v>
      </c>
      <c r="P34" s="18">
        <v>10.83314616</v>
      </c>
      <c r="Q34" s="18">
        <v>11.990045459999999</v>
      </c>
      <c r="R34" s="18">
        <v>12.646418560000001</v>
      </c>
      <c r="S34" s="18">
        <v>12.457809299999999</v>
      </c>
      <c r="T34" s="18">
        <v>12.36872964</v>
      </c>
      <c r="U34" s="19">
        <v>6.7500000000000004E-2</v>
      </c>
      <c r="V34" s="19">
        <v>0.14199999999999999</v>
      </c>
      <c r="W34" s="19">
        <v>1.09E-2</v>
      </c>
      <c r="X34" s="19" t="s">
        <v>26</v>
      </c>
      <c r="Y34" s="19" t="s">
        <v>26</v>
      </c>
      <c r="Z34" s="19" t="s">
        <v>26</v>
      </c>
      <c r="AA34" s="20">
        <v>-14880439.460000001</v>
      </c>
      <c r="AB34" s="21">
        <f>IFERROR(AVERAGE($V34:$Z34),"")</f>
        <v>7.644999999999999E-2</v>
      </c>
      <c r="AC34" s="21">
        <f>IFERROR(_xlfn.STDEV.P($V34:$Z34),"")</f>
        <v>6.5549999999999997E-2</v>
      </c>
    </row>
    <row r="35" spans="1:29" ht="14.25" customHeight="1" x14ac:dyDescent="0.3">
      <c r="A35" s="14" t="s">
        <v>87</v>
      </c>
      <c r="B35" s="15" t="s">
        <v>83</v>
      </c>
      <c r="C35" s="14" t="s">
        <v>28</v>
      </c>
      <c r="D35" s="14" t="s">
        <v>48</v>
      </c>
      <c r="E35" s="14" t="s">
        <v>49</v>
      </c>
      <c r="F35" s="14" t="s">
        <v>21</v>
      </c>
      <c r="G35" s="14" t="s">
        <v>29</v>
      </c>
      <c r="H35" s="14" t="s">
        <v>44</v>
      </c>
      <c r="I35" s="14" t="s">
        <v>24</v>
      </c>
      <c r="J35" s="14" t="s">
        <v>88</v>
      </c>
      <c r="K35" s="16">
        <v>8.9999999999999993E-3</v>
      </c>
      <c r="L35" s="17">
        <v>44636</v>
      </c>
      <c r="M35" s="18">
        <v>11.53062098</v>
      </c>
      <c r="N35" s="18">
        <v>11.59789608</v>
      </c>
      <c r="O35" s="18">
        <v>11.573448259999999</v>
      </c>
      <c r="P35" s="18">
        <v>11.42882185</v>
      </c>
      <c r="Q35" s="18">
        <v>11.683995899999999</v>
      </c>
      <c r="R35" s="18">
        <v>11.723854129999999</v>
      </c>
      <c r="S35" s="18">
        <v>11.795085439999999</v>
      </c>
      <c r="T35" s="18">
        <v>11.787080789999999</v>
      </c>
      <c r="U35" s="19">
        <v>2.2200000000000001E-2</v>
      </c>
      <c r="V35" s="19">
        <v>7.5800000000000006E-2</v>
      </c>
      <c r="W35" s="19">
        <v>5.5899999999999998E-2</v>
      </c>
      <c r="X35" s="19">
        <v>6.2199999999999998E-2</v>
      </c>
      <c r="Y35" s="19">
        <v>-5.7099999999999998E-2</v>
      </c>
      <c r="Z35" s="19" t="s">
        <v>26</v>
      </c>
      <c r="AA35" s="20">
        <v>-15031462.529999999</v>
      </c>
      <c r="AB35" s="21">
        <f>IFERROR(AVERAGE($V35:$Z35),"")</f>
        <v>3.4200000000000008E-2</v>
      </c>
      <c r="AC35" s="21">
        <f>IFERROR(_xlfn.STDEV.P($V35:$Z35),"")</f>
        <v>5.3200422930649707E-2</v>
      </c>
    </row>
    <row r="36" spans="1:29" ht="14.25" customHeight="1" x14ac:dyDescent="0.3">
      <c r="A36" s="14" t="s">
        <v>89</v>
      </c>
      <c r="B36" s="15" t="s">
        <v>83</v>
      </c>
      <c r="C36" s="14" t="s">
        <v>28</v>
      </c>
      <c r="D36" s="14" t="s">
        <v>48</v>
      </c>
      <c r="E36" s="14" t="s">
        <v>49</v>
      </c>
      <c r="F36" s="14" t="s">
        <v>21</v>
      </c>
      <c r="G36" s="14" t="s">
        <v>29</v>
      </c>
      <c r="H36" s="14" t="s">
        <v>44</v>
      </c>
      <c r="I36" s="14" t="s">
        <v>24</v>
      </c>
      <c r="J36" s="14" t="s">
        <v>88</v>
      </c>
      <c r="K36" s="16">
        <v>1.0999999999999999E-2</v>
      </c>
      <c r="L36" s="17">
        <v>44636</v>
      </c>
      <c r="M36" s="18">
        <v>11.414866</v>
      </c>
      <c r="N36" s="18">
        <v>11.47816212</v>
      </c>
      <c r="O36" s="18">
        <v>11.452689039999999</v>
      </c>
      <c r="P36" s="18">
        <v>11.31071698</v>
      </c>
      <c r="Q36" s="18">
        <v>11.555590069999999</v>
      </c>
      <c r="R36" s="18">
        <v>11.592317660000001</v>
      </c>
      <c r="S36" s="18">
        <v>11.659633400000001</v>
      </c>
      <c r="T36" s="18">
        <v>11.64993218</v>
      </c>
      <c r="U36" s="19">
        <v>2.06E-2</v>
      </c>
      <c r="V36" s="19">
        <v>7.3200000000000001E-2</v>
      </c>
      <c r="W36" s="19">
        <v>6.2E-2</v>
      </c>
      <c r="X36" s="19">
        <v>6.0600000000000001E-2</v>
      </c>
      <c r="Y36" s="19">
        <v>-5.8400000000000001E-2</v>
      </c>
      <c r="Z36" s="19" t="s">
        <v>26</v>
      </c>
      <c r="AA36" s="20">
        <v>-15031462.529999999</v>
      </c>
      <c r="AB36" s="21">
        <f>IFERROR(AVERAGE($V36:$Z36),"")</f>
        <v>3.4349999999999992E-2</v>
      </c>
      <c r="AC36" s="21">
        <f>IFERROR(_xlfn.STDEV.P($V36:$Z36),"")</f>
        <v>5.3771437585394724E-2</v>
      </c>
    </row>
    <row r="37" spans="1:29" ht="14.25" customHeight="1" x14ac:dyDescent="0.3">
      <c r="A37" s="14" t="s">
        <v>90</v>
      </c>
      <c r="B37" s="15" t="s">
        <v>83</v>
      </c>
      <c r="C37" s="14" t="s">
        <v>28</v>
      </c>
      <c r="D37" s="14" t="s">
        <v>34</v>
      </c>
      <c r="E37" s="14" t="s">
        <v>20</v>
      </c>
      <c r="F37" s="14" t="s">
        <v>21</v>
      </c>
      <c r="G37" s="14" t="s">
        <v>22</v>
      </c>
      <c r="H37" s="14" t="s">
        <v>23</v>
      </c>
      <c r="I37" s="14" t="s">
        <v>24</v>
      </c>
      <c r="J37" s="14" t="s">
        <v>88</v>
      </c>
      <c r="K37" s="16">
        <v>5.0000000000000001E-3</v>
      </c>
      <c r="L37" s="17">
        <v>44971</v>
      </c>
      <c r="M37" s="18">
        <v>11.587683760000001</v>
      </c>
      <c r="N37" s="18">
        <v>11.62216988</v>
      </c>
      <c r="O37" s="18">
        <v>11.636764729999999</v>
      </c>
      <c r="P37" s="18">
        <v>11.649380300000001</v>
      </c>
      <c r="Q37" s="18">
        <v>11.712366230000001</v>
      </c>
      <c r="R37" s="18">
        <v>11.75041135</v>
      </c>
      <c r="S37" s="18">
        <v>11.792233100000001</v>
      </c>
      <c r="T37" s="18">
        <v>11.82435154</v>
      </c>
      <c r="U37" s="19">
        <v>2.0400000000000001E-2</v>
      </c>
      <c r="V37" s="19">
        <v>5.3199999999999997E-2</v>
      </c>
      <c r="W37" s="19">
        <v>5.3699999999999998E-2</v>
      </c>
      <c r="X37" s="19">
        <v>4.41E-2</v>
      </c>
      <c r="Y37" s="19" t="s">
        <v>26</v>
      </c>
      <c r="Z37" s="19" t="s">
        <v>26</v>
      </c>
      <c r="AA37" s="20">
        <v>94229995.969999999</v>
      </c>
      <c r="AB37" s="21">
        <f>IFERROR(AVERAGE($V37:$Z37),"")</f>
        <v>5.0333333333333334E-2</v>
      </c>
      <c r="AC37" s="21">
        <f>IFERROR(_xlfn.STDEV.P($V37:$Z37),"")</f>
        <v>4.4123563873387289E-3</v>
      </c>
    </row>
    <row r="38" spans="1:29" ht="14.25" customHeight="1" x14ac:dyDescent="0.3">
      <c r="A38" s="14" t="s">
        <v>91</v>
      </c>
      <c r="B38" s="15" t="s">
        <v>83</v>
      </c>
      <c r="C38" s="14" t="s">
        <v>28</v>
      </c>
      <c r="D38" s="14" t="s">
        <v>34</v>
      </c>
      <c r="E38" s="14" t="s">
        <v>20</v>
      </c>
      <c r="F38" s="14" t="s">
        <v>21</v>
      </c>
      <c r="G38" s="14" t="s">
        <v>22</v>
      </c>
      <c r="H38" s="14" t="s">
        <v>23</v>
      </c>
      <c r="I38" s="14" t="s">
        <v>24</v>
      </c>
      <c r="J38" s="14" t="s">
        <v>35</v>
      </c>
      <c r="K38" s="16">
        <v>6.0000000000000001E-3</v>
      </c>
      <c r="L38" s="17">
        <v>44784</v>
      </c>
      <c r="M38" s="18">
        <v>0</v>
      </c>
      <c r="N38" s="18">
        <v>0</v>
      </c>
      <c r="O38" s="18">
        <v>0</v>
      </c>
      <c r="P38" s="18">
        <v>0</v>
      </c>
      <c r="Q38" s="18">
        <v>0</v>
      </c>
      <c r="R38" s="18">
        <v>0</v>
      </c>
      <c r="S38" s="18">
        <v>0</v>
      </c>
      <c r="T38" s="18">
        <v>0</v>
      </c>
      <c r="U38" s="19">
        <v>0</v>
      </c>
      <c r="V38" s="19">
        <v>-1</v>
      </c>
      <c r="W38" s="19">
        <v>5.1400000000000001E-2</v>
      </c>
      <c r="X38" s="19">
        <v>4.5900000000000003E-2</v>
      </c>
      <c r="Y38" s="19">
        <v>9.1999999999999998E-3</v>
      </c>
      <c r="Z38" s="19" t="s">
        <v>26</v>
      </c>
      <c r="AA38" s="20">
        <v>35709096.159999996</v>
      </c>
      <c r="AB38" s="21">
        <f>IFERROR(AVERAGE($V38:$Z38),"")</f>
        <v>-0.22337499999999999</v>
      </c>
      <c r="AC38" s="21">
        <f>IFERROR(_xlfn.STDEV.P($V38:$Z38),"")</f>
        <v>0.44867801581423622</v>
      </c>
    </row>
    <row r="39" spans="1:29" ht="14.25" customHeight="1" x14ac:dyDescent="0.3">
      <c r="A39" s="14" t="s">
        <v>92</v>
      </c>
      <c r="B39" s="15" t="s">
        <v>83</v>
      </c>
      <c r="C39" s="14" t="s">
        <v>28</v>
      </c>
      <c r="D39" s="14" t="s">
        <v>78</v>
      </c>
      <c r="E39" s="14" t="s">
        <v>93</v>
      </c>
      <c r="F39" s="14" t="s">
        <v>94</v>
      </c>
      <c r="G39" s="14" t="s">
        <v>29</v>
      </c>
      <c r="H39" s="14" t="s">
        <v>54</v>
      </c>
      <c r="I39" s="14" t="s">
        <v>24</v>
      </c>
      <c r="J39" s="14" t="s">
        <v>88</v>
      </c>
      <c r="K39" s="16">
        <v>0.01</v>
      </c>
      <c r="L39" s="17">
        <v>45852</v>
      </c>
      <c r="M39" s="18">
        <v>10.84128801</v>
      </c>
      <c r="N39" s="18">
        <v>11.457699720000001</v>
      </c>
      <c r="O39" s="18">
        <v>11.95634313</v>
      </c>
      <c r="P39" s="18">
        <v>10.776613210000001</v>
      </c>
      <c r="Q39" s="18">
        <v>11.574163070000001</v>
      </c>
      <c r="R39" s="18">
        <v>12.524688210000001</v>
      </c>
      <c r="S39" s="18">
        <v>12.40217563</v>
      </c>
      <c r="T39" s="18">
        <v>11.12508272</v>
      </c>
      <c r="U39" s="19">
        <v>2.6200000000000001E-2</v>
      </c>
      <c r="V39" s="19">
        <v>7.6300000000000007E-2</v>
      </c>
      <c r="W39" s="19" t="s">
        <v>26</v>
      </c>
      <c r="X39" s="19" t="s">
        <v>26</v>
      </c>
      <c r="Y39" s="19" t="s">
        <v>26</v>
      </c>
      <c r="Z39" s="19" t="s">
        <v>26</v>
      </c>
      <c r="AA39" s="20">
        <v>-34384561.57</v>
      </c>
      <c r="AB39" s="21">
        <f>IFERROR(AVERAGE($V39:$Z39),"")</f>
        <v>7.6300000000000007E-2</v>
      </c>
      <c r="AC39" s="21">
        <f>IFERROR(_xlfn.STDEV.P($V39:$Z39),"")</f>
        <v>0</v>
      </c>
    </row>
    <row r="40" spans="1:29" ht="14.25" customHeight="1" x14ac:dyDescent="0.3">
      <c r="A40" s="14" t="s">
        <v>95</v>
      </c>
      <c r="B40" s="15" t="s">
        <v>83</v>
      </c>
      <c r="C40" s="14" t="s">
        <v>28</v>
      </c>
      <c r="D40" s="14" t="s">
        <v>78</v>
      </c>
      <c r="E40" s="14" t="s">
        <v>93</v>
      </c>
      <c r="F40" s="14" t="s">
        <v>94</v>
      </c>
      <c r="G40" s="14" t="s">
        <v>29</v>
      </c>
      <c r="H40" s="14" t="s">
        <v>54</v>
      </c>
      <c r="I40" s="14" t="s">
        <v>24</v>
      </c>
      <c r="J40" s="14" t="s">
        <v>88</v>
      </c>
      <c r="K40" s="16">
        <v>0.01</v>
      </c>
      <c r="L40" s="17">
        <v>45852</v>
      </c>
      <c r="M40" s="18">
        <v>10.82919032</v>
      </c>
      <c r="N40" s="18">
        <v>11.442582659999999</v>
      </c>
      <c r="O40" s="18">
        <v>11.93841347</v>
      </c>
      <c r="P40" s="18">
        <v>10.75808462</v>
      </c>
      <c r="Q40" s="18">
        <v>11.55198541</v>
      </c>
      <c r="R40" s="18">
        <v>12.49822324</v>
      </c>
      <c r="S40" s="18">
        <v>12.37350938</v>
      </c>
      <c r="T40" s="18">
        <v>11.09694929</v>
      </c>
      <c r="U40" s="19">
        <v>2.47E-2</v>
      </c>
      <c r="V40" s="19">
        <v>7.51E-2</v>
      </c>
      <c r="W40" s="19" t="s">
        <v>26</v>
      </c>
      <c r="X40" s="19" t="s">
        <v>26</v>
      </c>
      <c r="Y40" s="19" t="s">
        <v>26</v>
      </c>
      <c r="Z40" s="19" t="s">
        <v>26</v>
      </c>
      <c r="AA40" s="20">
        <v>-34384561.57</v>
      </c>
      <c r="AB40" s="21">
        <f>IFERROR(AVERAGE($V40:$Z40),"")</f>
        <v>7.51E-2</v>
      </c>
      <c r="AC40" s="21">
        <f>IFERROR(_xlfn.STDEV.P($V40:$Z40),"")</f>
        <v>0</v>
      </c>
    </row>
    <row r="41" spans="1:29" ht="14.25" customHeight="1" x14ac:dyDescent="0.3">
      <c r="A41" s="14" t="s">
        <v>96</v>
      </c>
      <c r="B41" s="15" t="s">
        <v>97</v>
      </c>
      <c r="C41" s="14" t="s">
        <v>28</v>
      </c>
      <c r="D41" s="14" t="s">
        <v>48</v>
      </c>
      <c r="E41" s="14" t="s">
        <v>49</v>
      </c>
      <c r="F41" s="14" t="s">
        <v>21</v>
      </c>
      <c r="G41" s="14" t="s">
        <v>29</v>
      </c>
      <c r="H41" s="14" t="s">
        <v>44</v>
      </c>
      <c r="I41" s="14" t="s">
        <v>45</v>
      </c>
      <c r="J41" s="14" t="s">
        <v>46</v>
      </c>
      <c r="K41" s="16">
        <v>5.4999999999999997E-3</v>
      </c>
      <c r="L41" s="17">
        <v>44120</v>
      </c>
      <c r="M41" s="18">
        <v>116.85598005</v>
      </c>
      <c r="N41" s="18">
        <v>117.9130186</v>
      </c>
      <c r="O41" s="18">
        <v>119.36221285000001</v>
      </c>
      <c r="P41" s="18">
        <v>113.33479893000001</v>
      </c>
      <c r="Q41" s="18">
        <v>119.0822963</v>
      </c>
      <c r="R41" s="18">
        <v>122.23203494000001</v>
      </c>
      <c r="S41" s="18">
        <v>122.09671539</v>
      </c>
      <c r="T41" s="18">
        <v>121.17885375</v>
      </c>
      <c r="U41" s="19">
        <v>3.6999999999999998E-2</v>
      </c>
      <c r="V41" s="19">
        <v>5.3199999999999997E-2</v>
      </c>
      <c r="W41" s="19">
        <v>4.2299999999999997E-2</v>
      </c>
      <c r="X41" s="19">
        <v>8.2299999999999998E-2</v>
      </c>
      <c r="Y41" s="19">
        <v>-0.14510000000000001</v>
      </c>
      <c r="Z41" s="19">
        <v>0.1004</v>
      </c>
      <c r="AA41" s="20">
        <v>0</v>
      </c>
      <c r="AB41" s="21">
        <f>IFERROR(AVERAGE($V41:$Z41),"")</f>
        <v>2.6619999999999998E-2</v>
      </c>
      <c r="AC41" s="21">
        <f>IFERROR(_xlfn.STDEV.P($V41:$Z41),"")</f>
        <v>8.8299340880892196E-2</v>
      </c>
    </row>
    <row r="42" spans="1:29" ht="14.25" customHeight="1" x14ac:dyDescent="0.3">
      <c r="A42" s="14" t="s">
        <v>98</v>
      </c>
      <c r="B42" s="15" t="s">
        <v>99</v>
      </c>
      <c r="C42" s="14" t="s">
        <v>18</v>
      </c>
      <c r="D42" s="14" t="s">
        <v>34</v>
      </c>
      <c r="E42" s="14" t="s">
        <v>20</v>
      </c>
      <c r="F42" s="14" t="s">
        <v>21</v>
      </c>
      <c r="G42" s="14" t="s">
        <v>22</v>
      </c>
      <c r="H42" s="14" t="s">
        <v>23</v>
      </c>
      <c r="I42" s="14" t="s">
        <v>24</v>
      </c>
      <c r="J42" s="14" t="s">
        <v>88</v>
      </c>
      <c r="K42" s="16">
        <v>1.0200000000000001E-2</v>
      </c>
      <c r="L42" s="17">
        <v>44783</v>
      </c>
      <c r="M42" s="18">
        <v>1221.2643</v>
      </c>
      <c r="N42" s="18">
        <v>1225.6391000000001</v>
      </c>
      <c r="O42" s="18">
        <v>1233.7852</v>
      </c>
      <c r="P42" s="18">
        <v>1237.4521999999999</v>
      </c>
      <c r="Q42" s="18">
        <v>1243.2598</v>
      </c>
      <c r="R42" s="18">
        <v>1248.5495000000001</v>
      </c>
      <c r="S42" s="18">
        <v>1254.9170999999999</v>
      </c>
      <c r="T42" s="18">
        <v>1260.8454999999999</v>
      </c>
      <c r="U42" s="19">
        <v>3.2399999999999998E-2</v>
      </c>
      <c r="V42" s="19">
        <v>5.5100000000000003E-2</v>
      </c>
      <c r="W42" s="19">
        <v>6.1600000000000002E-2</v>
      </c>
      <c r="X42" s="19">
        <v>6.25E-2</v>
      </c>
      <c r="Y42" s="19">
        <v>2.3599999999999999E-2</v>
      </c>
      <c r="Z42" s="19" t="s">
        <v>26</v>
      </c>
      <c r="AA42" s="20">
        <v>9525805.6600000001</v>
      </c>
      <c r="AB42" s="21">
        <f>IFERROR(AVERAGE($V42:$Z42),"")</f>
        <v>5.0700000000000002E-2</v>
      </c>
      <c r="AC42" s="21">
        <f>IFERROR(_xlfn.STDEV.P($V42:$Z42),"")</f>
        <v>1.5904559094800461E-2</v>
      </c>
    </row>
    <row r="43" spans="1:29" ht="14.25" customHeight="1" x14ac:dyDescent="0.3">
      <c r="A43" s="14" t="s">
        <v>100</v>
      </c>
      <c r="B43" s="15" t="s">
        <v>101</v>
      </c>
      <c r="C43" s="14" t="s">
        <v>28</v>
      </c>
      <c r="D43" s="14" t="s">
        <v>41</v>
      </c>
      <c r="E43" s="14" t="s">
        <v>71</v>
      </c>
      <c r="F43" s="14" t="s">
        <v>43</v>
      </c>
      <c r="G43" s="14" t="s">
        <v>22</v>
      </c>
      <c r="H43" s="14" t="s">
        <v>44</v>
      </c>
      <c r="I43" s="14" t="s">
        <v>24</v>
      </c>
      <c r="J43" s="14" t="s">
        <v>102</v>
      </c>
      <c r="K43" s="16">
        <v>3.5000000000000003E-2</v>
      </c>
      <c r="L43" s="17">
        <v>39099</v>
      </c>
      <c r="M43" s="18">
        <v>248.30395799999999</v>
      </c>
      <c r="N43" s="18">
        <v>290.11300999999997</v>
      </c>
      <c r="O43" s="18">
        <v>306.463662</v>
      </c>
      <c r="P43" s="18">
        <v>278.87409700000001</v>
      </c>
      <c r="Q43" s="18">
        <v>270.74857500000002</v>
      </c>
      <c r="R43" s="18">
        <v>295.297842</v>
      </c>
      <c r="S43" s="18">
        <v>307.55784299999999</v>
      </c>
      <c r="T43" s="18">
        <v>315.65585600000003</v>
      </c>
      <c r="U43" s="19">
        <v>0.2712</v>
      </c>
      <c r="V43" s="19">
        <v>0.50019999999999998</v>
      </c>
      <c r="W43" s="19">
        <v>9.3899999999999997E-2</v>
      </c>
      <c r="X43" s="19">
        <v>0.22800000000000001</v>
      </c>
      <c r="Y43" s="19">
        <v>2.1499999999999998E-2</v>
      </c>
      <c r="Z43" s="19">
        <v>-6.4399999999999999E-2</v>
      </c>
      <c r="AA43" s="20">
        <v>122636701.93000001</v>
      </c>
      <c r="AB43" s="21">
        <f>IFERROR(AVERAGE($V43:$Z43),"")</f>
        <v>0.15583999999999998</v>
      </c>
      <c r="AC43" s="21">
        <f>IFERROR(_xlfn.STDEV.P($V43:$Z43),"")</f>
        <v>0.19706868447320597</v>
      </c>
    </row>
    <row r="44" spans="1:29" ht="14.25" customHeight="1" x14ac:dyDescent="0.3">
      <c r="A44" s="14" t="s">
        <v>103</v>
      </c>
      <c r="B44" s="15" t="s">
        <v>101</v>
      </c>
      <c r="C44" s="14" t="s">
        <v>28</v>
      </c>
      <c r="D44" s="14" t="s">
        <v>41</v>
      </c>
      <c r="E44" s="14" t="s">
        <v>71</v>
      </c>
      <c r="F44" s="14" t="s">
        <v>73</v>
      </c>
      <c r="G44" s="14" t="s">
        <v>22</v>
      </c>
      <c r="H44" s="14" t="s">
        <v>44</v>
      </c>
      <c r="I44" s="14" t="s">
        <v>45</v>
      </c>
      <c r="J44" s="14" t="s">
        <v>46</v>
      </c>
      <c r="K44" s="16">
        <v>1.6500000000000001E-2</v>
      </c>
      <c r="L44" s="17">
        <v>44312</v>
      </c>
      <c r="M44" s="18">
        <v>135.18446499999999</v>
      </c>
      <c r="N44" s="18">
        <v>135.244202</v>
      </c>
      <c r="O44" s="18">
        <v>127.115352</v>
      </c>
      <c r="P44" s="18">
        <v>114.07937</v>
      </c>
      <c r="Q44" s="18">
        <v>138.68823599999999</v>
      </c>
      <c r="R44" s="18">
        <v>148.509266</v>
      </c>
      <c r="S44" s="18">
        <v>144.70697699999999</v>
      </c>
      <c r="T44" s="18">
        <v>134.895736</v>
      </c>
      <c r="U44" s="19">
        <v>-2.0999999999999999E-3</v>
      </c>
      <c r="V44" s="19">
        <v>0.16059999999999999</v>
      </c>
      <c r="W44" s="19">
        <v>0.28670000000000001</v>
      </c>
      <c r="X44" s="19">
        <v>0.39329999999999998</v>
      </c>
      <c r="Y44" s="19">
        <v>-0.3891</v>
      </c>
      <c r="Z44" s="19">
        <v>5.91E-2</v>
      </c>
      <c r="AA44" s="20">
        <v>117636020.09</v>
      </c>
      <c r="AB44" s="21">
        <f>IFERROR(AVERAGE($V44:$Z44),"")</f>
        <v>0.10212000000000002</v>
      </c>
      <c r="AC44" s="21">
        <f>IFERROR(_xlfn.STDEV.P($V44:$Z44),"")</f>
        <v>0.27034174224488527</v>
      </c>
    </row>
    <row r="45" spans="1:29" ht="14.25" customHeight="1" x14ac:dyDescent="0.3">
      <c r="A45" s="14" t="s">
        <v>104</v>
      </c>
      <c r="B45" s="15" t="s">
        <v>101</v>
      </c>
      <c r="C45" s="14" t="s">
        <v>28</v>
      </c>
      <c r="D45" s="14" t="s">
        <v>48</v>
      </c>
      <c r="E45" s="14" t="s">
        <v>53</v>
      </c>
      <c r="F45" s="14" t="s">
        <v>21</v>
      </c>
      <c r="G45" s="14" t="s">
        <v>22</v>
      </c>
      <c r="H45" s="14" t="s">
        <v>44</v>
      </c>
      <c r="I45" s="14" t="s">
        <v>24</v>
      </c>
      <c r="J45" s="14" t="s">
        <v>46</v>
      </c>
      <c r="K45" s="16">
        <v>1.4999999999999999E-2</v>
      </c>
      <c r="L45" s="17">
        <v>41135</v>
      </c>
      <c r="M45" s="18">
        <v>65.542394000000002</v>
      </c>
      <c r="N45" s="18">
        <v>76.257323</v>
      </c>
      <c r="O45" s="18">
        <v>77.526790000000005</v>
      </c>
      <c r="P45" s="18">
        <v>71.505185999999995</v>
      </c>
      <c r="Q45" s="18">
        <v>75.368478999999994</v>
      </c>
      <c r="R45" s="18">
        <v>73.712811000000002</v>
      </c>
      <c r="S45" s="18">
        <v>72.187646999999998</v>
      </c>
      <c r="T45" s="18">
        <v>74.992751999999996</v>
      </c>
      <c r="U45" s="19">
        <v>0.14419999999999999</v>
      </c>
      <c r="V45" s="19">
        <v>0.42830000000000001</v>
      </c>
      <c r="W45" s="19">
        <v>-0.27389999999999998</v>
      </c>
      <c r="X45" s="19">
        <v>0.26690000000000003</v>
      </c>
      <c r="Y45" s="19">
        <v>-1.8700000000000001E-2</v>
      </c>
      <c r="Z45" s="19">
        <v>-8.8200000000000001E-2</v>
      </c>
      <c r="AA45" s="20">
        <v>50557142.75</v>
      </c>
      <c r="AB45" s="21">
        <f>IFERROR(AVERAGE($V45:$Z45),"")</f>
        <v>6.2880000000000019E-2</v>
      </c>
      <c r="AC45" s="21">
        <f>IFERROR(_xlfn.STDEV.P($V45:$Z45),"")</f>
        <v>0.25221307182618435</v>
      </c>
    </row>
    <row r="46" spans="1:29" ht="14.25" customHeight="1" x14ac:dyDescent="0.3">
      <c r="A46" s="14" t="s">
        <v>105</v>
      </c>
      <c r="B46" s="15" t="s">
        <v>101</v>
      </c>
      <c r="C46" s="14" t="s">
        <v>28</v>
      </c>
      <c r="D46" s="14" t="s">
        <v>41</v>
      </c>
      <c r="E46" s="14" t="s">
        <v>71</v>
      </c>
      <c r="F46" s="14" t="s">
        <v>43</v>
      </c>
      <c r="G46" s="14" t="s">
        <v>29</v>
      </c>
      <c r="H46" s="14" t="s">
        <v>44</v>
      </c>
      <c r="I46" s="14" t="s">
        <v>24</v>
      </c>
      <c r="J46" s="14" t="s">
        <v>102</v>
      </c>
      <c r="K46" s="16">
        <v>1.7500000000000002E-2</v>
      </c>
      <c r="L46" s="17">
        <v>41358</v>
      </c>
      <c r="M46" s="18">
        <v>222.96020999999999</v>
      </c>
      <c r="N46" s="18">
        <v>228.06262899999999</v>
      </c>
      <c r="O46" s="18">
        <v>231.110005</v>
      </c>
      <c r="P46" s="18">
        <v>214.99937</v>
      </c>
      <c r="Q46" s="18">
        <v>236.47788</v>
      </c>
      <c r="R46" s="18">
        <v>247.439201</v>
      </c>
      <c r="S46" s="18">
        <v>245.066317</v>
      </c>
      <c r="T46" s="18">
        <v>242.704601</v>
      </c>
      <c r="U46" s="19">
        <v>8.8599999999999998E-2</v>
      </c>
      <c r="V46" s="19">
        <v>0.188</v>
      </c>
      <c r="W46" s="19">
        <v>0.1326</v>
      </c>
      <c r="X46" s="19">
        <v>0.1656</v>
      </c>
      <c r="Y46" s="19">
        <v>-0.2041</v>
      </c>
      <c r="Z46" s="19">
        <v>0.13969999999999999</v>
      </c>
      <c r="AA46" s="20">
        <v>77979129.120000005</v>
      </c>
      <c r="AB46" s="21">
        <f>IFERROR(AVERAGE($V46:$Z46),"")</f>
        <v>8.4359999999999991E-2</v>
      </c>
      <c r="AC46" s="21">
        <f>IFERROR(_xlfn.STDEV.P($V46:$Z46),"")</f>
        <v>0.14556096454750497</v>
      </c>
    </row>
    <row r="47" spans="1:29" ht="14.25" customHeight="1" x14ac:dyDescent="0.3">
      <c r="A47" s="14" t="s">
        <v>106</v>
      </c>
      <c r="B47" s="15" t="s">
        <v>101</v>
      </c>
      <c r="C47" s="14" t="s">
        <v>28</v>
      </c>
      <c r="D47" s="14" t="s">
        <v>41</v>
      </c>
      <c r="E47" s="14" t="s">
        <v>71</v>
      </c>
      <c r="F47" s="14" t="s">
        <v>43</v>
      </c>
      <c r="G47" s="14" t="s">
        <v>66</v>
      </c>
      <c r="H47" s="14" t="s">
        <v>44</v>
      </c>
      <c r="I47" s="14" t="s">
        <v>24</v>
      </c>
      <c r="J47" s="14" t="s">
        <v>46</v>
      </c>
      <c r="K47" s="16">
        <v>0.01</v>
      </c>
      <c r="L47" s="17">
        <v>42881</v>
      </c>
      <c r="M47" s="18">
        <v>251.29362800000001</v>
      </c>
      <c r="N47" s="18">
        <v>250.59336200000001</v>
      </c>
      <c r="O47" s="18">
        <v>243.92477600000001</v>
      </c>
      <c r="P47" s="18">
        <v>224.75392600000001</v>
      </c>
      <c r="Q47" s="18">
        <v>253.734633</v>
      </c>
      <c r="R47" s="18">
        <v>256.60406399999999</v>
      </c>
      <c r="S47" s="18">
        <v>254.78627700000001</v>
      </c>
      <c r="T47" s="18">
        <v>258.41871500000002</v>
      </c>
      <c r="U47" s="19">
        <v>2.8400000000000002E-2</v>
      </c>
      <c r="V47" s="19">
        <v>4.8899999999999999E-2</v>
      </c>
      <c r="W47" s="19">
        <v>0.17960000000000001</v>
      </c>
      <c r="X47" s="19">
        <v>0.34410000000000002</v>
      </c>
      <c r="Y47" s="19">
        <v>-0.30159999999999998</v>
      </c>
      <c r="Z47" s="19">
        <v>0.18729999999999999</v>
      </c>
      <c r="AA47" s="20">
        <v>165391282.49000001</v>
      </c>
      <c r="AB47" s="21">
        <f>IFERROR(AVERAGE($V47:$Z47),"")</f>
        <v>9.1660000000000005E-2</v>
      </c>
      <c r="AC47" s="21">
        <f>IFERROR(_xlfn.STDEV.P($V47:$Z47),"")</f>
        <v>0.21775594228401668</v>
      </c>
    </row>
    <row r="48" spans="1:29" ht="14.25" customHeight="1" x14ac:dyDescent="0.3">
      <c r="A48" s="14" t="s">
        <v>107</v>
      </c>
      <c r="B48" s="15" t="s">
        <v>101</v>
      </c>
      <c r="C48" s="14" t="s">
        <v>28</v>
      </c>
      <c r="D48" s="14" t="s">
        <v>41</v>
      </c>
      <c r="E48" s="14" t="s">
        <v>71</v>
      </c>
      <c r="F48" s="14" t="s">
        <v>43</v>
      </c>
      <c r="G48" s="14" t="s">
        <v>59</v>
      </c>
      <c r="H48" s="14" t="s">
        <v>44</v>
      </c>
      <c r="I48" s="14" t="s">
        <v>24</v>
      </c>
      <c r="J48" s="14" t="s">
        <v>46</v>
      </c>
      <c r="K48" s="16">
        <v>0.01</v>
      </c>
      <c r="L48" s="17">
        <v>42891</v>
      </c>
      <c r="M48" s="18">
        <v>161.73529600000001</v>
      </c>
      <c r="N48" s="18">
        <v>174.65511599999999</v>
      </c>
      <c r="O48" s="18">
        <v>182.95408800000001</v>
      </c>
      <c r="P48" s="18">
        <v>158.69748999999999</v>
      </c>
      <c r="Q48" s="18">
        <v>186.801523</v>
      </c>
      <c r="R48" s="18">
        <v>209.345189</v>
      </c>
      <c r="S48" s="18">
        <v>206.56718599999999</v>
      </c>
      <c r="T48" s="18">
        <v>197.05921599999999</v>
      </c>
      <c r="U48" s="19">
        <v>0.21840000000000001</v>
      </c>
      <c r="V48" s="19">
        <v>0.29380000000000001</v>
      </c>
      <c r="W48" s="19">
        <v>7.9899999999999999E-2</v>
      </c>
      <c r="X48" s="19">
        <v>3.8999999999999998E-3</v>
      </c>
      <c r="Y48" s="19">
        <v>-0.18410000000000001</v>
      </c>
      <c r="Z48" s="19">
        <v>-4.3700000000000003E-2</v>
      </c>
      <c r="AA48" s="20">
        <v>72338582.049999997</v>
      </c>
      <c r="AB48" s="21">
        <f>IFERROR(AVERAGE($V48:$Z48),"")</f>
        <v>2.9960000000000007E-2</v>
      </c>
      <c r="AC48" s="21">
        <f>IFERROR(_xlfn.STDEV.P($V48:$Z48),"")</f>
        <v>0.15750057269737147</v>
      </c>
    </row>
    <row r="49" spans="1:29" ht="14.25" customHeight="1" x14ac:dyDescent="0.3">
      <c r="A49" s="14" t="s">
        <v>108</v>
      </c>
      <c r="B49" s="15" t="s">
        <v>101</v>
      </c>
      <c r="C49" s="14" t="s">
        <v>28</v>
      </c>
      <c r="D49" s="14" t="s">
        <v>48</v>
      </c>
      <c r="E49" s="14" t="s">
        <v>49</v>
      </c>
      <c r="F49" s="14" t="s">
        <v>21</v>
      </c>
      <c r="G49" s="14" t="s">
        <v>29</v>
      </c>
      <c r="H49" s="14" t="s">
        <v>44</v>
      </c>
      <c r="I49" s="14" t="s">
        <v>45</v>
      </c>
      <c r="J49" s="14" t="s">
        <v>46</v>
      </c>
      <c r="K49" s="16">
        <v>0.01</v>
      </c>
      <c r="L49" s="17">
        <v>44123</v>
      </c>
      <c r="M49" s="18">
        <v>110.675642</v>
      </c>
      <c r="N49" s="18">
        <v>110.74977199999999</v>
      </c>
      <c r="O49" s="18">
        <v>108.834318</v>
      </c>
      <c r="P49" s="18">
        <v>96.546746999999996</v>
      </c>
      <c r="Q49" s="18">
        <v>107.24913100000001</v>
      </c>
      <c r="R49" s="18">
        <v>112.83930700000001</v>
      </c>
      <c r="S49" s="18">
        <v>112.146393</v>
      </c>
      <c r="T49" s="18">
        <v>112.016167</v>
      </c>
      <c r="U49" s="19">
        <v>1.21E-2</v>
      </c>
      <c r="V49" s="19">
        <v>9.9199999999999997E-2</v>
      </c>
      <c r="W49" s="19">
        <v>0.10150000000000001</v>
      </c>
      <c r="X49" s="19">
        <v>0.29149999999999998</v>
      </c>
      <c r="Y49" s="19">
        <v>-0.35749999999999998</v>
      </c>
      <c r="Z49" s="19">
        <v>1.2E-2</v>
      </c>
      <c r="AA49" s="20">
        <v>21964169.899999999</v>
      </c>
      <c r="AB49" s="21">
        <f>IFERROR(AVERAGE($V49:$Z49),"")</f>
        <v>2.9339999999999998E-2</v>
      </c>
      <c r="AC49" s="21">
        <f>IFERROR(_xlfn.STDEV.P($V49:$Z49),"")</f>
        <v>0.21389773818346</v>
      </c>
    </row>
    <row r="50" spans="1:29" ht="14.25" customHeight="1" x14ac:dyDescent="0.3">
      <c r="A50" s="14" t="s">
        <v>109</v>
      </c>
      <c r="B50" s="15" t="s">
        <v>101</v>
      </c>
      <c r="C50" s="14" t="s">
        <v>28</v>
      </c>
      <c r="D50" s="14" t="s">
        <v>41</v>
      </c>
      <c r="E50" s="14" t="s">
        <v>71</v>
      </c>
      <c r="F50" s="14" t="s">
        <v>43</v>
      </c>
      <c r="G50" s="14" t="s">
        <v>110</v>
      </c>
      <c r="H50" s="14" t="s">
        <v>44</v>
      </c>
      <c r="I50" s="14" t="s">
        <v>24</v>
      </c>
      <c r="J50" s="14" t="s">
        <v>46</v>
      </c>
      <c r="K50" s="16">
        <v>0.01</v>
      </c>
      <c r="L50" s="17">
        <v>42881</v>
      </c>
      <c r="M50" s="18">
        <v>186.86490000000001</v>
      </c>
      <c r="N50" s="18">
        <v>189.19709599999999</v>
      </c>
      <c r="O50" s="18">
        <v>188.807816</v>
      </c>
      <c r="P50" s="18">
        <v>175.30571</v>
      </c>
      <c r="Q50" s="18">
        <v>185.465723</v>
      </c>
      <c r="R50" s="18">
        <v>193.554541</v>
      </c>
      <c r="S50" s="18">
        <v>198.210972</v>
      </c>
      <c r="T50" s="18">
        <v>197.26037199999999</v>
      </c>
      <c r="U50" s="19">
        <v>5.5599999999999997E-2</v>
      </c>
      <c r="V50" s="19">
        <v>0.155</v>
      </c>
      <c r="W50" s="19">
        <v>1.3100000000000001E-2</v>
      </c>
      <c r="X50" s="19">
        <v>0.21460000000000001</v>
      </c>
      <c r="Y50" s="19">
        <v>-0.26550000000000001</v>
      </c>
      <c r="Z50" s="19">
        <v>0.29020000000000001</v>
      </c>
      <c r="AA50" s="20">
        <v>70629016.319999993</v>
      </c>
      <c r="AB50" s="21">
        <f>IFERROR(AVERAGE($V50:$Z50),"")</f>
        <v>8.1480000000000011E-2</v>
      </c>
      <c r="AC50" s="21">
        <f>IFERROR(_xlfn.STDEV.P($V50:$Z50),"")</f>
        <v>0.19583723241508494</v>
      </c>
    </row>
    <row r="51" spans="1:29" ht="14.25" customHeight="1" x14ac:dyDescent="0.3">
      <c r="A51" s="14" t="s">
        <v>111</v>
      </c>
      <c r="B51" s="15" t="s">
        <v>101</v>
      </c>
      <c r="C51" s="14" t="s">
        <v>28</v>
      </c>
      <c r="D51" s="14" t="s">
        <v>48</v>
      </c>
      <c r="E51" s="14" t="s">
        <v>53</v>
      </c>
      <c r="F51" s="14" t="s">
        <v>21</v>
      </c>
      <c r="G51" s="14" t="s">
        <v>22</v>
      </c>
      <c r="H51" s="14" t="s">
        <v>44</v>
      </c>
      <c r="I51" s="14" t="s">
        <v>45</v>
      </c>
      <c r="J51" s="14" t="s">
        <v>46</v>
      </c>
      <c r="K51" s="16">
        <v>0.01</v>
      </c>
      <c r="L51" s="17">
        <v>43375</v>
      </c>
      <c r="M51" s="18">
        <v>157.35762399999999</v>
      </c>
      <c r="N51" s="18">
        <v>157.16677300000001</v>
      </c>
      <c r="O51" s="18">
        <v>151.43626599999999</v>
      </c>
      <c r="P51" s="18">
        <v>142.42161899999999</v>
      </c>
      <c r="Q51" s="18">
        <v>159.94626</v>
      </c>
      <c r="R51" s="18">
        <v>189.82217</v>
      </c>
      <c r="S51" s="18">
        <v>203.10434100000001</v>
      </c>
      <c r="T51" s="18">
        <v>192.39631700000001</v>
      </c>
      <c r="U51" s="19">
        <v>0.22270000000000001</v>
      </c>
      <c r="V51" s="19">
        <v>3.8899999999999997E-2</v>
      </c>
      <c r="W51" s="19">
        <v>0.11799999999999999</v>
      </c>
      <c r="X51" s="19">
        <v>0.1938</v>
      </c>
      <c r="Y51" s="19">
        <v>-0.31869999999999998</v>
      </c>
      <c r="Z51" s="19">
        <v>0.18940000000000001</v>
      </c>
      <c r="AA51" s="20">
        <v>26103642.309999999</v>
      </c>
      <c r="AB51" s="21">
        <f>IFERROR(AVERAGE($V51:$Z51),"")</f>
        <v>4.4280000000000007E-2</v>
      </c>
      <c r="AC51" s="21">
        <f>IFERROR(_xlfn.STDEV.P($V51:$Z51),"")</f>
        <v>0.19007057005228348</v>
      </c>
    </row>
    <row r="52" spans="1:29" ht="14.25" customHeight="1" x14ac:dyDescent="0.3">
      <c r="A52" s="14" t="s">
        <v>112</v>
      </c>
      <c r="B52" s="15" t="s">
        <v>101</v>
      </c>
      <c r="C52" s="14" t="s">
        <v>28</v>
      </c>
      <c r="D52" s="14" t="s">
        <v>41</v>
      </c>
      <c r="E52" s="14" t="s">
        <v>71</v>
      </c>
      <c r="F52" s="14" t="s">
        <v>43</v>
      </c>
      <c r="G52" s="14" t="s">
        <v>59</v>
      </c>
      <c r="H52" s="14" t="s">
        <v>44</v>
      </c>
      <c r="I52" s="14" t="s">
        <v>45</v>
      </c>
      <c r="J52" s="14" t="s">
        <v>46</v>
      </c>
      <c r="K52" s="16">
        <v>0.01</v>
      </c>
      <c r="L52" s="17">
        <v>44256</v>
      </c>
      <c r="M52" s="18">
        <v>75.454303999999993</v>
      </c>
      <c r="N52" s="18">
        <v>78.832363999999998</v>
      </c>
      <c r="O52" s="18">
        <v>80.243928999999994</v>
      </c>
      <c r="P52" s="18">
        <v>73.660944000000001</v>
      </c>
      <c r="Q52" s="18">
        <v>83.641381999999993</v>
      </c>
      <c r="R52" s="18">
        <v>89.018748000000002</v>
      </c>
      <c r="S52" s="18">
        <v>95.192548000000002</v>
      </c>
      <c r="T52" s="18">
        <v>84.329560000000001</v>
      </c>
      <c r="U52" s="19">
        <v>0.1176</v>
      </c>
      <c r="V52" s="19">
        <v>0.38750000000000001</v>
      </c>
      <c r="W52" s="19">
        <v>7.7299999999999994E-2</v>
      </c>
      <c r="X52" s="19">
        <v>-0.22289999999999999</v>
      </c>
      <c r="Y52" s="19">
        <v>-0.34010000000000001</v>
      </c>
      <c r="Z52" s="19">
        <v>-1.23E-2</v>
      </c>
      <c r="AA52" s="20">
        <v>31700307.350000001</v>
      </c>
      <c r="AB52" s="21">
        <f>IFERROR(AVERAGE($V52:$Z52),"")</f>
        <v>-2.2100000000000002E-2</v>
      </c>
      <c r="AC52" s="21">
        <f>IFERROR(_xlfn.STDEV.P($V52:$Z52),"")</f>
        <v>0.25266309584108243</v>
      </c>
    </row>
    <row r="53" spans="1:29" ht="14.25" customHeight="1" x14ac:dyDescent="0.3">
      <c r="A53" s="14" t="s">
        <v>113</v>
      </c>
      <c r="B53" s="15" t="s">
        <v>101</v>
      </c>
      <c r="C53" s="14" t="s">
        <v>18</v>
      </c>
      <c r="D53" s="14" t="s">
        <v>48</v>
      </c>
      <c r="E53" s="14" t="s">
        <v>53</v>
      </c>
      <c r="F53" s="14" t="s">
        <v>21</v>
      </c>
      <c r="G53" s="14" t="s">
        <v>22</v>
      </c>
      <c r="H53" s="14" t="s">
        <v>44</v>
      </c>
      <c r="I53" s="14" t="s">
        <v>24</v>
      </c>
      <c r="J53" s="14" t="s">
        <v>88</v>
      </c>
      <c r="K53" s="16">
        <v>8.0000000000000002E-3</v>
      </c>
      <c r="L53" s="17">
        <v>43677</v>
      </c>
      <c r="M53" s="18">
        <v>132.057028</v>
      </c>
      <c r="N53" s="18">
        <v>132.98319499999999</v>
      </c>
      <c r="O53" s="18">
        <v>133.808953</v>
      </c>
      <c r="P53" s="18">
        <v>132.04795200000001</v>
      </c>
      <c r="Q53" s="18">
        <v>132.991084</v>
      </c>
      <c r="R53" s="18">
        <v>134.071223</v>
      </c>
      <c r="S53" s="18">
        <v>135.63292799999999</v>
      </c>
      <c r="T53" s="18">
        <v>136.245195</v>
      </c>
      <c r="U53" s="19">
        <v>3.1699999999999999E-2</v>
      </c>
      <c r="V53" s="19">
        <v>8.0299999999999996E-2</v>
      </c>
      <c r="W53" s="19">
        <v>9.74E-2</v>
      </c>
      <c r="X53" s="19">
        <v>0.13619999999999999</v>
      </c>
      <c r="Y53" s="19">
        <v>-5.3900000000000003E-2</v>
      </c>
      <c r="Z53" s="19">
        <v>-3.7699999999999997E-2</v>
      </c>
      <c r="AA53" s="20">
        <v>197862555.13</v>
      </c>
      <c r="AB53" s="21">
        <f>IFERROR(AVERAGE($V53:$Z53),"")</f>
        <v>4.4459999999999986E-2</v>
      </c>
      <c r="AC53" s="21">
        <f>IFERROR(_xlfn.STDEV.P($V53:$Z53),"")</f>
        <v>7.6063568151908317E-2</v>
      </c>
    </row>
    <row r="54" spans="1:29" ht="14.25" customHeight="1" x14ac:dyDescent="0.3">
      <c r="A54" s="14" t="s">
        <v>114</v>
      </c>
      <c r="B54" s="15" t="s">
        <v>101</v>
      </c>
      <c r="C54" s="14" t="s">
        <v>18</v>
      </c>
      <c r="D54" s="14" t="s">
        <v>48</v>
      </c>
      <c r="E54" s="14" t="s">
        <v>53</v>
      </c>
      <c r="F54" s="14" t="s">
        <v>21</v>
      </c>
      <c r="G54" s="14" t="s">
        <v>22</v>
      </c>
      <c r="H54" s="14" t="s">
        <v>54</v>
      </c>
      <c r="I54" s="14" t="s">
        <v>24</v>
      </c>
      <c r="J54" s="14" t="s">
        <v>55</v>
      </c>
      <c r="K54" s="16">
        <v>1.4E-2</v>
      </c>
      <c r="L54" s="17">
        <v>39150</v>
      </c>
      <c r="M54" s="18">
        <v>221.85736299999999</v>
      </c>
      <c r="N54" s="18">
        <v>223.126869</v>
      </c>
      <c r="O54" s="18">
        <v>224.07479599999999</v>
      </c>
      <c r="P54" s="18">
        <v>221.98569599999999</v>
      </c>
      <c r="Q54" s="18">
        <v>223.68921</v>
      </c>
      <c r="R54" s="18">
        <v>225.170197</v>
      </c>
      <c r="S54" s="18">
        <v>227.20659000000001</v>
      </c>
      <c r="T54" s="18">
        <v>228.37178800000001</v>
      </c>
      <c r="U54" s="19">
        <v>2.9399999999999999E-2</v>
      </c>
      <c r="V54" s="19">
        <v>6.7299999999999999E-2</v>
      </c>
      <c r="W54" s="19">
        <v>7.22E-2</v>
      </c>
      <c r="X54" s="19">
        <v>9.1700000000000004E-2</v>
      </c>
      <c r="Y54" s="19">
        <v>2.3E-3</v>
      </c>
      <c r="Z54" s="19">
        <v>-3.4299999999999997E-2</v>
      </c>
      <c r="AA54" s="20">
        <v>859777580.77999997</v>
      </c>
      <c r="AB54" s="21">
        <f>IFERROR(AVERAGE($V54:$Z54),"")</f>
        <v>3.984E-2</v>
      </c>
      <c r="AC54" s="21">
        <f>IFERROR(_xlfn.STDEV.P($V54:$Z54),"")</f>
        <v>4.774237530747711E-2</v>
      </c>
    </row>
    <row r="55" spans="1:29" ht="14.25" customHeight="1" x14ac:dyDescent="0.3">
      <c r="A55" s="14" t="s">
        <v>115</v>
      </c>
      <c r="B55" s="15" t="s">
        <v>101</v>
      </c>
      <c r="C55" s="14" t="s">
        <v>18</v>
      </c>
      <c r="D55" s="14" t="s">
        <v>48</v>
      </c>
      <c r="E55" s="14" t="s">
        <v>53</v>
      </c>
      <c r="F55" s="14" t="s">
        <v>21</v>
      </c>
      <c r="G55" s="14" t="s">
        <v>22</v>
      </c>
      <c r="H55" s="14" t="s">
        <v>23</v>
      </c>
      <c r="I55" s="14" t="s">
        <v>24</v>
      </c>
      <c r="J55" s="14" t="s">
        <v>35</v>
      </c>
      <c r="K55" s="16">
        <v>1.0500000000000001E-2</v>
      </c>
      <c r="L55" s="17">
        <v>41680</v>
      </c>
      <c r="M55" s="18">
        <v>161.838584</v>
      </c>
      <c r="N55" s="18">
        <v>162.52818600000001</v>
      </c>
      <c r="O55" s="18">
        <v>163.04280900000001</v>
      </c>
      <c r="P55" s="18">
        <v>162.99623299999999</v>
      </c>
      <c r="Q55" s="18">
        <v>163.721102</v>
      </c>
      <c r="R55" s="18">
        <v>164.392877</v>
      </c>
      <c r="S55" s="18">
        <v>165.161753</v>
      </c>
      <c r="T55" s="18">
        <v>165.67208099999999</v>
      </c>
      <c r="U55" s="19">
        <v>2.3699999999999999E-2</v>
      </c>
      <c r="V55" s="19">
        <v>4.7E-2</v>
      </c>
      <c r="W55" s="19">
        <v>6.0199999999999997E-2</v>
      </c>
      <c r="X55" s="19">
        <v>7.5399999999999995E-2</v>
      </c>
      <c r="Y55" s="19">
        <v>3.2899999999999999E-2</v>
      </c>
      <c r="Z55" s="19">
        <v>-7.6E-3</v>
      </c>
      <c r="AA55" s="20">
        <v>1300155400.52</v>
      </c>
      <c r="AB55" s="21">
        <f>IFERROR(AVERAGE($V55:$Z55),"")</f>
        <v>4.1579999999999992E-2</v>
      </c>
      <c r="AC55" s="21">
        <f>IFERROR(_xlfn.STDEV.P($V55:$Z55),"")</f>
        <v>2.8333330196078262E-2</v>
      </c>
    </row>
    <row r="56" spans="1:29" ht="14.25" customHeight="1" x14ac:dyDescent="0.3">
      <c r="A56" s="14" t="s">
        <v>116</v>
      </c>
      <c r="B56" s="15" t="s">
        <v>101</v>
      </c>
      <c r="C56" s="14" t="s">
        <v>28</v>
      </c>
      <c r="D56" s="14" t="s">
        <v>48</v>
      </c>
      <c r="E56" s="14" t="s">
        <v>49</v>
      </c>
      <c r="F56" s="14" t="s">
        <v>21</v>
      </c>
      <c r="G56" s="14" t="s">
        <v>29</v>
      </c>
      <c r="H56" s="14" t="s">
        <v>44</v>
      </c>
      <c r="I56" s="14" t="s">
        <v>45</v>
      </c>
      <c r="J56" s="14" t="s">
        <v>46</v>
      </c>
      <c r="K56" s="16">
        <v>8.5000000000000006E-3</v>
      </c>
      <c r="L56" s="17">
        <v>44875</v>
      </c>
      <c r="M56" s="18">
        <v>120.607587</v>
      </c>
      <c r="N56" s="18">
        <v>121.357488</v>
      </c>
      <c r="O56" s="18">
        <v>122.40900600000001</v>
      </c>
      <c r="P56" s="18">
        <v>119.10239</v>
      </c>
      <c r="Q56" s="18">
        <v>120.39105499999999</v>
      </c>
      <c r="R56" s="18">
        <v>121.34702299999999</v>
      </c>
      <c r="S56" s="18">
        <v>121.977797</v>
      </c>
      <c r="T56" s="18">
        <v>121.059195</v>
      </c>
      <c r="U56" s="19">
        <v>3.7000000000000002E-3</v>
      </c>
      <c r="V56" s="19">
        <v>7.3599999999999999E-2</v>
      </c>
      <c r="W56" s="19">
        <v>3.7600000000000001E-2</v>
      </c>
      <c r="X56" s="19">
        <v>6.3500000000000001E-2</v>
      </c>
      <c r="Y56" s="19">
        <v>1.24E-2</v>
      </c>
      <c r="Z56" s="19" t="s">
        <v>26</v>
      </c>
      <c r="AA56" s="20">
        <v>287735800.72000003</v>
      </c>
      <c r="AB56" s="21">
        <f>IFERROR(AVERAGE($V56:$Z56),"")</f>
        <v>4.6774999999999997E-2</v>
      </c>
      <c r="AC56" s="21">
        <f>IFERROR(_xlfn.STDEV.P($V56:$Z56),"")</f>
        <v>2.3796677814350475E-2</v>
      </c>
    </row>
    <row r="57" spans="1:29" ht="14.25" customHeight="1" x14ac:dyDescent="0.3">
      <c r="A57" s="14" t="s">
        <v>117</v>
      </c>
      <c r="B57" s="15" t="s">
        <v>101</v>
      </c>
      <c r="C57" s="14" t="s">
        <v>28</v>
      </c>
      <c r="D57" s="14" t="s">
        <v>48</v>
      </c>
      <c r="E57" s="14" t="s">
        <v>53</v>
      </c>
      <c r="F57" s="14" t="s">
        <v>21</v>
      </c>
      <c r="G57" s="14" t="s">
        <v>22</v>
      </c>
      <c r="H57" s="14" t="s">
        <v>54</v>
      </c>
      <c r="I57" s="14" t="s">
        <v>24</v>
      </c>
      <c r="J57" s="14" t="s">
        <v>39</v>
      </c>
      <c r="K57" s="16">
        <v>8.3000000000000001E-3</v>
      </c>
      <c r="L57" s="17">
        <v>45460</v>
      </c>
      <c r="M57" s="18">
        <v>110.07563399999999</v>
      </c>
      <c r="N57" s="18">
        <v>110.50682999999999</v>
      </c>
      <c r="O57" s="18">
        <v>107.796049</v>
      </c>
      <c r="P57" s="18">
        <v>107.55366600000001</v>
      </c>
      <c r="Q57" s="18">
        <v>108.116726</v>
      </c>
      <c r="R57" s="18">
        <v>108.33009</v>
      </c>
      <c r="S57" s="18">
        <v>108.60513899999999</v>
      </c>
      <c r="T57" s="18">
        <v>108.812039</v>
      </c>
      <c r="U57" s="19">
        <v>-1.15E-2</v>
      </c>
      <c r="V57" s="19">
        <v>5.9299999999999999E-2</v>
      </c>
      <c r="W57" s="19">
        <v>3.3599999999999998E-2</v>
      </c>
      <c r="X57" s="19" t="s">
        <v>26</v>
      </c>
      <c r="Y57" s="19" t="s">
        <v>26</v>
      </c>
      <c r="Z57" s="19" t="s">
        <v>26</v>
      </c>
      <c r="AA57" s="20">
        <v>21083123.609999999</v>
      </c>
      <c r="AB57" s="21">
        <f>IFERROR(AVERAGE($V57:$Z57),"")</f>
        <v>4.6449999999999998E-2</v>
      </c>
      <c r="AC57" s="21">
        <f>IFERROR(_xlfn.STDEV.P($V57:$Z57),"")</f>
        <v>1.2849999999999997E-2</v>
      </c>
    </row>
    <row r="58" spans="1:29" ht="14.25" customHeight="1" x14ac:dyDescent="0.3">
      <c r="A58" s="14" t="s">
        <v>118</v>
      </c>
      <c r="B58" s="15" t="s">
        <v>101</v>
      </c>
      <c r="C58" s="14" t="s">
        <v>28</v>
      </c>
      <c r="D58" s="14" t="s">
        <v>48</v>
      </c>
      <c r="E58" s="14" t="s">
        <v>49</v>
      </c>
      <c r="F58" s="14" t="s">
        <v>21</v>
      </c>
      <c r="G58" s="14" t="s">
        <v>29</v>
      </c>
      <c r="H58" s="14" t="s">
        <v>44</v>
      </c>
      <c r="I58" s="14" t="s">
        <v>45</v>
      </c>
      <c r="J58" s="14" t="s">
        <v>46</v>
      </c>
      <c r="K58" s="16">
        <v>0.01</v>
      </c>
      <c r="L58" s="17">
        <v>43083</v>
      </c>
      <c r="M58" s="18">
        <v>188.407613</v>
      </c>
      <c r="N58" s="18">
        <v>191.74733900000001</v>
      </c>
      <c r="O58" s="18">
        <v>188.878905</v>
      </c>
      <c r="P58" s="18">
        <v>177.51209499999999</v>
      </c>
      <c r="Q58" s="18">
        <v>192.331242</v>
      </c>
      <c r="R58" s="18">
        <v>196.324702</v>
      </c>
      <c r="S58" s="18">
        <v>192.224535</v>
      </c>
      <c r="T58" s="18">
        <v>197.142482</v>
      </c>
      <c r="U58" s="19">
        <v>4.6399999999999997E-2</v>
      </c>
      <c r="V58" s="19">
        <v>0.1236</v>
      </c>
      <c r="W58" s="19">
        <v>7.6399999999999996E-2</v>
      </c>
      <c r="X58" s="19">
        <v>0.14399999999999999</v>
      </c>
      <c r="Y58" s="19">
        <v>-0.17169999999999999</v>
      </c>
      <c r="Z58" s="19">
        <v>0.19289999999999999</v>
      </c>
      <c r="AA58" s="20">
        <v>167030627.91999999</v>
      </c>
      <c r="AB58" s="21">
        <f>IFERROR(AVERAGE($V58:$Z58),"")</f>
        <v>7.3039999999999994E-2</v>
      </c>
      <c r="AC58" s="21">
        <f>IFERROR(_xlfn.STDEV.P($V58:$Z58),"")</f>
        <v>0.12795859642868862</v>
      </c>
    </row>
    <row r="59" spans="1:29" ht="14.25" customHeight="1" x14ac:dyDescent="0.3">
      <c r="A59" s="14" t="s">
        <v>119</v>
      </c>
      <c r="B59" s="15" t="s">
        <v>101</v>
      </c>
      <c r="C59" s="14" t="s">
        <v>28</v>
      </c>
      <c r="D59" s="14" t="s">
        <v>48</v>
      </c>
      <c r="E59" s="14" t="s">
        <v>53</v>
      </c>
      <c r="F59" s="14" t="s">
        <v>21</v>
      </c>
      <c r="G59" s="14" t="s">
        <v>22</v>
      </c>
      <c r="H59" s="14" t="s">
        <v>23</v>
      </c>
      <c r="I59" s="14" t="s">
        <v>24</v>
      </c>
      <c r="J59" s="14" t="s">
        <v>35</v>
      </c>
      <c r="K59" s="16">
        <v>7.6E-3</v>
      </c>
      <c r="L59" s="17">
        <v>41688</v>
      </c>
      <c r="M59" s="18">
        <v>131.73263600000001</v>
      </c>
      <c r="N59" s="18">
        <v>132.10051200000001</v>
      </c>
      <c r="O59" s="18">
        <v>132.56894800000001</v>
      </c>
      <c r="P59" s="18">
        <v>132.58229</v>
      </c>
      <c r="Q59" s="18">
        <v>133.076019</v>
      </c>
      <c r="R59" s="18">
        <v>133.28971000000001</v>
      </c>
      <c r="S59" s="18">
        <v>133.628129</v>
      </c>
      <c r="T59" s="18">
        <v>133.94749100000001</v>
      </c>
      <c r="U59" s="19">
        <v>1.6799999999999999E-2</v>
      </c>
      <c r="V59" s="19">
        <v>4.7300000000000002E-2</v>
      </c>
      <c r="W59" s="19">
        <v>5.4399999999999997E-2</v>
      </c>
      <c r="X59" s="19">
        <v>5.2299999999999999E-2</v>
      </c>
      <c r="Y59" s="19">
        <v>1.4500000000000001E-2</v>
      </c>
      <c r="Z59" s="19">
        <v>3.3999999999999998E-3</v>
      </c>
      <c r="AA59" s="20">
        <v>3541168178.3299999</v>
      </c>
      <c r="AB59" s="21">
        <f>IFERROR(AVERAGE($V59:$Z59),"")</f>
        <v>3.4380000000000001E-2</v>
      </c>
      <c r="AC59" s="21">
        <f>IFERROR(_xlfn.STDEV.P($V59:$Z59),"")</f>
        <v>2.1184088368395755E-2</v>
      </c>
    </row>
    <row r="60" spans="1:29" ht="14.25" customHeight="1" x14ac:dyDescent="0.3">
      <c r="A60" s="14" t="s">
        <v>120</v>
      </c>
      <c r="B60" s="15" t="s">
        <v>101</v>
      </c>
      <c r="C60" s="14" t="s">
        <v>28</v>
      </c>
      <c r="D60" s="14" t="s">
        <v>48</v>
      </c>
      <c r="E60" s="14" t="s">
        <v>53</v>
      </c>
      <c r="F60" s="14" t="s">
        <v>21</v>
      </c>
      <c r="G60" s="14" t="s">
        <v>22</v>
      </c>
      <c r="H60" s="14" t="s">
        <v>44</v>
      </c>
      <c r="I60" s="14" t="s">
        <v>45</v>
      </c>
      <c r="J60" s="14" t="s">
        <v>46</v>
      </c>
      <c r="K60" s="16">
        <v>7.1999999999999998E-3</v>
      </c>
      <c r="L60" s="17">
        <v>45422</v>
      </c>
      <c r="M60" s="18">
        <v>108.871635</v>
      </c>
      <c r="N60" s="18">
        <v>109.274884</v>
      </c>
      <c r="O60" s="18">
        <v>109.513578</v>
      </c>
      <c r="P60" s="18">
        <v>109.365157</v>
      </c>
      <c r="Q60" s="18">
        <v>109.862635</v>
      </c>
      <c r="R60" s="18">
        <v>110.04192</v>
      </c>
      <c r="S60" s="18">
        <v>110.336726</v>
      </c>
      <c r="T60" s="18">
        <v>110.563777</v>
      </c>
      <c r="U60" s="19">
        <v>1.55E-2</v>
      </c>
      <c r="V60" s="19">
        <v>5.0099999999999999E-2</v>
      </c>
      <c r="W60" s="19">
        <v>3.27E-2</v>
      </c>
      <c r="X60" s="19" t="s">
        <v>26</v>
      </c>
      <c r="Y60" s="19" t="s">
        <v>26</v>
      </c>
      <c r="Z60" s="19" t="s">
        <v>26</v>
      </c>
      <c r="AA60" s="20">
        <v>1342783287.0599999</v>
      </c>
      <c r="AB60" s="21">
        <f>IFERROR(AVERAGE($V60:$Z60),"")</f>
        <v>4.1399999999999999E-2</v>
      </c>
      <c r="AC60" s="21">
        <f>IFERROR(_xlfn.STDEV.P($V60:$Z60),"")</f>
        <v>8.6999999999999994E-3</v>
      </c>
    </row>
    <row r="61" spans="1:29" ht="14.25" customHeight="1" x14ac:dyDescent="0.3">
      <c r="A61" s="14" t="s">
        <v>121</v>
      </c>
      <c r="B61" s="15" t="s">
        <v>101</v>
      </c>
      <c r="C61" s="14" t="s">
        <v>28</v>
      </c>
      <c r="D61" s="14" t="s">
        <v>48</v>
      </c>
      <c r="E61" s="14" t="s">
        <v>53</v>
      </c>
      <c r="F61" s="14" t="s">
        <v>65</v>
      </c>
      <c r="G61" s="14" t="s">
        <v>22</v>
      </c>
      <c r="H61" s="14" t="s">
        <v>44</v>
      </c>
      <c r="I61" s="14" t="s">
        <v>24</v>
      </c>
      <c r="J61" s="14" t="s">
        <v>39</v>
      </c>
      <c r="K61" s="16">
        <v>7.0000000000000001E-3</v>
      </c>
      <c r="L61" s="17">
        <v>43489</v>
      </c>
      <c r="M61" s="18">
        <v>136.41856000000001</v>
      </c>
      <c r="N61" s="18">
        <v>137.41608600000001</v>
      </c>
      <c r="O61" s="18">
        <v>137.66122100000001</v>
      </c>
      <c r="P61" s="18">
        <v>135.179789</v>
      </c>
      <c r="Q61" s="18">
        <v>138.216633</v>
      </c>
      <c r="R61" s="18">
        <v>138.44243499999999</v>
      </c>
      <c r="S61" s="18">
        <v>139.430239</v>
      </c>
      <c r="T61" s="18">
        <v>139.107111</v>
      </c>
      <c r="U61" s="19">
        <v>1.9699999999999999E-2</v>
      </c>
      <c r="V61" s="19">
        <v>9.3799999999999994E-2</v>
      </c>
      <c r="W61" s="19">
        <v>9.5799999999999996E-2</v>
      </c>
      <c r="X61" s="19">
        <v>6.6400000000000001E-2</v>
      </c>
      <c r="Y61" s="19">
        <v>-8.8400000000000006E-2</v>
      </c>
      <c r="Z61" s="19">
        <v>3.3999999999999998E-3</v>
      </c>
      <c r="AA61" s="20">
        <v>251968567.47999999</v>
      </c>
      <c r="AB61" s="21">
        <f>IFERROR(AVERAGE($V61:$Z61),"")</f>
        <v>3.4199999999999994E-2</v>
      </c>
      <c r="AC61" s="21">
        <f>IFERROR(_xlfn.STDEV.P($V61:$Z61),"")</f>
        <v>6.9803954042733152E-2</v>
      </c>
    </row>
    <row r="62" spans="1:29" ht="14.25" customHeight="1" x14ac:dyDescent="0.3">
      <c r="A62" s="14" t="s">
        <v>122</v>
      </c>
      <c r="B62" s="15" t="s">
        <v>101</v>
      </c>
      <c r="C62" s="14" t="s">
        <v>28</v>
      </c>
      <c r="D62" s="14" t="s">
        <v>48</v>
      </c>
      <c r="E62" s="14" t="s">
        <v>53</v>
      </c>
      <c r="F62" s="14" t="s">
        <v>21</v>
      </c>
      <c r="G62" s="14" t="s">
        <v>22</v>
      </c>
      <c r="H62" s="14" t="s">
        <v>23</v>
      </c>
      <c r="I62" s="14" t="s">
        <v>24</v>
      </c>
      <c r="J62" s="14" t="s">
        <v>46</v>
      </c>
      <c r="K62" s="16">
        <v>0.01</v>
      </c>
      <c r="L62" s="17">
        <v>42796</v>
      </c>
      <c r="M62" s="18">
        <v>132.95571799999999</v>
      </c>
      <c r="N62" s="18">
        <v>132.75336799999999</v>
      </c>
      <c r="O62" s="18">
        <v>131.69028399999999</v>
      </c>
      <c r="P62" s="18">
        <v>131.72808699999999</v>
      </c>
      <c r="Q62" s="18">
        <v>133.17432500000001</v>
      </c>
      <c r="R62" s="18">
        <v>132.79728700000001</v>
      </c>
      <c r="S62" s="18">
        <v>133.13477800000001</v>
      </c>
      <c r="T62" s="18">
        <v>134.324861</v>
      </c>
      <c r="U62" s="19">
        <v>1.03E-2</v>
      </c>
      <c r="V62" s="19">
        <v>3.1399999999999997E-2</v>
      </c>
      <c r="W62" s="19">
        <v>6.1600000000000002E-2</v>
      </c>
      <c r="X62" s="19">
        <v>0.10290000000000001</v>
      </c>
      <c r="Y62" s="19">
        <v>-3.8199999999999998E-2</v>
      </c>
      <c r="Z62" s="19">
        <v>6.1600000000000002E-2</v>
      </c>
      <c r="AA62" s="20">
        <v>46096307.18</v>
      </c>
      <c r="AB62" s="21">
        <f>IFERROR(AVERAGE($V62:$Z62),"")</f>
        <v>4.3859999999999996E-2</v>
      </c>
      <c r="AC62" s="21">
        <f>IFERROR(_xlfn.STDEV.P($V62:$Z62),"")</f>
        <v>4.6913179384902068E-2</v>
      </c>
    </row>
    <row r="63" spans="1:29" ht="14.25" customHeight="1" x14ac:dyDescent="0.3">
      <c r="A63" s="14" t="s">
        <v>123</v>
      </c>
      <c r="B63" s="15" t="s">
        <v>101</v>
      </c>
      <c r="C63" s="14" t="s">
        <v>28</v>
      </c>
      <c r="D63" s="14" t="s">
        <v>48</v>
      </c>
      <c r="E63" s="14" t="s">
        <v>53</v>
      </c>
      <c r="F63" s="14" t="s">
        <v>21</v>
      </c>
      <c r="G63" s="14" t="s">
        <v>22</v>
      </c>
      <c r="H63" s="14" t="s">
        <v>54</v>
      </c>
      <c r="I63" s="14" t="s">
        <v>24</v>
      </c>
      <c r="J63" s="14" t="s">
        <v>39</v>
      </c>
      <c r="K63" s="16">
        <v>6.0000000000000001E-3</v>
      </c>
      <c r="L63" s="17">
        <v>44784</v>
      </c>
      <c r="M63" s="18">
        <v>116.841362</v>
      </c>
      <c r="N63" s="18">
        <v>117.28385400000001</v>
      </c>
      <c r="O63" s="18">
        <v>117.569973</v>
      </c>
      <c r="P63" s="18">
        <v>117.52824099999999</v>
      </c>
      <c r="Q63" s="18">
        <v>118.061429</v>
      </c>
      <c r="R63" s="18">
        <v>116.603212</v>
      </c>
      <c r="S63" s="18">
        <v>116.90191299999999</v>
      </c>
      <c r="T63" s="18">
        <v>117.14369499999999</v>
      </c>
      <c r="U63" s="19">
        <v>2.5999999999999999E-3</v>
      </c>
      <c r="V63" s="19">
        <v>5.5199999999999999E-2</v>
      </c>
      <c r="W63" s="19">
        <v>5.2999999999999999E-2</v>
      </c>
      <c r="X63" s="19">
        <v>5.9900000000000002E-2</v>
      </c>
      <c r="Y63" s="19">
        <v>-1.0500000000000001E-2</v>
      </c>
      <c r="Z63" s="19" t="s">
        <v>26</v>
      </c>
      <c r="AA63" s="20">
        <v>21903635.579999998</v>
      </c>
      <c r="AB63" s="21">
        <f>IFERROR(AVERAGE($V63:$Z63),"")</f>
        <v>3.9399999999999998E-2</v>
      </c>
      <c r="AC63" s="21">
        <f>IFERROR(_xlfn.STDEV.P($V63:$Z63),"")</f>
        <v>2.8917382315832119E-2</v>
      </c>
    </row>
    <row r="64" spans="1:29" ht="14.25" customHeight="1" x14ac:dyDescent="0.3">
      <c r="A64" s="14" t="s">
        <v>124</v>
      </c>
      <c r="B64" s="15" t="s">
        <v>101</v>
      </c>
      <c r="C64" s="14" t="s">
        <v>28</v>
      </c>
      <c r="D64" s="14" t="s">
        <v>48</v>
      </c>
      <c r="E64" s="14" t="s">
        <v>53</v>
      </c>
      <c r="F64" s="14" t="s">
        <v>21</v>
      </c>
      <c r="G64" s="14" t="s">
        <v>22</v>
      </c>
      <c r="H64" s="14" t="s">
        <v>54</v>
      </c>
      <c r="I64" s="14" t="s">
        <v>24</v>
      </c>
      <c r="J64" s="14" t="s">
        <v>39</v>
      </c>
      <c r="K64" s="16">
        <v>7.3000000000000001E-3</v>
      </c>
      <c r="L64" s="17">
        <v>45279</v>
      </c>
      <c r="M64" s="18">
        <v>112.01992199999999</v>
      </c>
      <c r="N64" s="18">
        <v>112.42811</v>
      </c>
      <c r="O64" s="18">
        <v>110.24837599999999</v>
      </c>
      <c r="P64" s="18">
        <v>110.007386</v>
      </c>
      <c r="Q64" s="18">
        <v>110.62201399999999</v>
      </c>
      <c r="R64" s="18">
        <v>110.942393</v>
      </c>
      <c r="S64" s="18">
        <v>111.239296</v>
      </c>
      <c r="T64" s="18">
        <v>111.435292</v>
      </c>
      <c r="U64" s="19">
        <v>-5.1999999999999998E-3</v>
      </c>
      <c r="V64" s="19">
        <v>5.7599999999999998E-2</v>
      </c>
      <c r="W64" s="19">
        <v>5.1799999999999999E-2</v>
      </c>
      <c r="X64" s="19">
        <v>4.0000000000000001E-3</v>
      </c>
      <c r="Y64" s="19" t="s">
        <v>26</v>
      </c>
      <c r="Z64" s="19" t="s">
        <v>26</v>
      </c>
      <c r="AA64" s="20">
        <v>31307732.620000001</v>
      </c>
      <c r="AB64" s="21">
        <f>IFERROR(AVERAGE($V64:$Z64),"")</f>
        <v>3.78E-2</v>
      </c>
      <c r="AC64" s="21">
        <f>IFERROR(_xlfn.STDEV.P($V64:$Z64),"")</f>
        <v>2.4017216047382894E-2</v>
      </c>
    </row>
    <row r="65" spans="1:29" ht="14.25" customHeight="1" x14ac:dyDescent="0.3">
      <c r="A65" s="14" t="s">
        <v>125</v>
      </c>
      <c r="B65" s="15" t="s">
        <v>101</v>
      </c>
      <c r="C65" s="14" t="s">
        <v>28</v>
      </c>
      <c r="D65" s="14" t="s">
        <v>48</v>
      </c>
      <c r="E65" s="14" t="s">
        <v>53</v>
      </c>
      <c r="F65" s="14" t="s">
        <v>21</v>
      </c>
      <c r="G65" s="14" t="s">
        <v>22</v>
      </c>
      <c r="H65" s="14" t="s">
        <v>44</v>
      </c>
      <c r="I65" s="14" t="s">
        <v>45</v>
      </c>
      <c r="J65" s="14" t="s">
        <v>46</v>
      </c>
      <c r="K65" s="16">
        <v>1.15E-2</v>
      </c>
      <c r="L65" s="17">
        <v>41128</v>
      </c>
      <c r="M65" s="18">
        <v>149.89214699999999</v>
      </c>
      <c r="N65" s="18">
        <v>150.91854599999999</v>
      </c>
      <c r="O65" s="18">
        <v>151.199217</v>
      </c>
      <c r="P65" s="18">
        <v>148.36976200000001</v>
      </c>
      <c r="Q65" s="18">
        <v>151.646851</v>
      </c>
      <c r="R65" s="18">
        <v>151.80004199999999</v>
      </c>
      <c r="S65" s="18">
        <v>152.80633</v>
      </c>
      <c r="T65" s="18">
        <v>152.38377600000001</v>
      </c>
      <c r="U65" s="19">
        <v>1.66E-2</v>
      </c>
      <c r="V65" s="19">
        <v>5.0799999999999998E-2</v>
      </c>
      <c r="W65" s="19">
        <v>3.61E-2</v>
      </c>
      <c r="X65" s="19">
        <v>5.9400000000000001E-2</v>
      </c>
      <c r="Y65" s="19">
        <v>-9.2799999999999994E-2</v>
      </c>
      <c r="Z65" s="19">
        <v>-1.2999999999999999E-3</v>
      </c>
      <c r="AA65" s="20">
        <v>213013583.44999999</v>
      </c>
      <c r="AB65" s="21">
        <f>IFERROR(AVERAGE($V65:$Z65),"")</f>
        <v>1.0440000000000003E-2</v>
      </c>
      <c r="AC65" s="21">
        <f>IFERROR(_xlfn.STDEV.P($V65:$Z65),"")</f>
        <v>5.5643098404024906E-2</v>
      </c>
    </row>
    <row r="66" spans="1:29" ht="14.25" customHeight="1" x14ac:dyDescent="0.3">
      <c r="A66" s="14" t="s">
        <v>126</v>
      </c>
      <c r="B66" s="15" t="s">
        <v>101</v>
      </c>
      <c r="C66" s="14" t="s">
        <v>28</v>
      </c>
      <c r="D66" s="14" t="s">
        <v>48</v>
      </c>
      <c r="E66" s="14" t="s">
        <v>53</v>
      </c>
      <c r="F66" s="14" t="s">
        <v>21</v>
      </c>
      <c r="G66" s="14" t="s">
        <v>22</v>
      </c>
      <c r="H66" s="14" t="s">
        <v>44</v>
      </c>
      <c r="I66" s="14" t="s">
        <v>24</v>
      </c>
      <c r="J66" s="14" t="s">
        <v>55</v>
      </c>
      <c r="K66" s="16">
        <v>1.4E-2</v>
      </c>
      <c r="L66" s="17">
        <v>35150</v>
      </c>
      <c r="M66" s="18">
        <v>284.98279500000001</v>
      </c>
      <c r="N66" s="18">
        <v>285.55352800000003</v>
      </c>
      <c r="O66" s="18">
        <v>285.09090400000002</v>
      </c>
      <c r="P66" s="18">
        <v>283.01211999999998</v>
      </c>
      <c r="Q66" s="18">
        <v>285.656297</v>
      </c>
      <c r="R66" s="18">
        <v>285.77449899999999</v>
      </c>
      <c r="S66" s="18">
        <v>286.59961499999997</v>
      </c>
      <c r="T66" s="18">
        <v>286.257518</v>
      </c>
      <c r="U66" s="19">
        <v>4.4999999999999997E-3</v>
      </c>
      <c r="V66" s="19">
        <v>5.3699999999999998E-2</v>
      </c>
      <c r="W66" s="19">
        <v>5.67E-2</v>
      </c>
      <c r="X66" s="19">
        <v>6.0299999999999999E-2</v>
      </c>
      <c r="Y66" s="19">
        <v>-3.5999999999999997E-2</v>
      </c>
      <c r="Z66" s="19">
        <v>-6.3E-3</v>
      </c>
      <c r="AA66" s="20">
        <v>890645927.5</v>
      </c>
      <c r="AB66" s="21">
        <f>IFERROR(AVERAGE($V66:$Z66),"")</f>
        <v>2.5679999999999998E-2</v>
      </c>
      <c r="AC66" s="21">
        <f>IFERROR(_xlfn.STDEV.P($V66:$Z66),"")</f>
        <v>3.9428537888184498E-2</v>
      </c>
    </row>
    <row r="67" spans="1:29" ht="14.25" customHeight="1" x14ac:dyDescent="0.3">
      <c r="A67" s="14" t="s">
        <v>127</v>
      </c>
      <c r="B67" s="15" t="s">
        <v>101</v>
      </c>
      <c r="C67" s="14" t="s">
        <v>28</v>
      </c>
      <c r="D67" s="14" t="s">
        <v>48</v>
      </c>
      <c r="E67" s="14" t="s">
        <v>53</v>
      </c>
      <c r="F67" s="14" t="s">
        <v>21</v>
      </c>
      <c r="G67" s="14" t="s">
        <v>22</v>
      </c>
      <c r="H67" s="14" t="s">
        <v>44</v>
      </c>
      <c r="I67" s="14" t="s">
        <v>45</v>
      </c>
      <c r="J67" s="14" t="s">
        <v>46</v>
      </c>
      <c r="K67" s="16">
        <v>7.1999999999999998E-3</v>
      </c>
      <c r="L67" s="17">
        <v>43509</v>
      </c>
      <c r="M67" s="18">
        <v>127.853442</v>
      </c>
      <c r="N67" s="18">
        <v>128.50096600000001</v>
      </c>
      <c r="O67" s="18">
        <v>129.57795200000001</v>
      </c>
      <c r="P67" s="18">
        <v>126.12808800000001</v>
      </c>
      <c r="Q67" s="18">
        <v>127.441748</v>
      </c>
      <c r="R67" s="18">
        <v>128.20835700000001</v>
      </c>
      <c r="S67" s="18">
        <v>129.41298</v>
      </c>
      <c r="T67" s="18">
        <v>127.684455</v>
      </c>
      <c r="U67" s="19">
        <v>-1.2999999999999999E-3</v>
      </c>
      <c r="V67" s="19">
        <v>9.2200000000000004E-2</v>
      </c>
      <c r="W67" s="19">
        <v>4.53E-2</v>
      </c>
      <c r="X67" s="19">
        <v>7.17E-2</v>
      </c>
      <c r="Y67" s="19">
        <v>-7.51E-2</v>
      </c>
      <c r="Z67" s="19">
        <v>1.5800000000000002E-2</v>
      </c>
      <c r="AA67" s="20">
        <v>709688897.57000005</v>
      </c>
      <c r="AB67" s="21">
        <f>IFERROR(AVERAGE($V67:$Z67),"")</f>
        <v>2.998E-2</v>
      </c>
      <c r="AC67" s="21">
        <f>IFERROR(_xlfn.STDEV.P($V67:$Z67),"")</f>
        <v>5.8462753954975466E-2</v>
      </c>
    </row>
    <row r="68" spans="1:29" ht="14.25" customHeight="1" x14ac:dyDescent="0.3">
      <c r="A68" s="14" t="s">
        <v>128</v>
      </c>
      <c r="B68" s="15" t="s">
        <v>101</v>
      </c>
      <c r="C68" s="14" t="s">
        <v>28</v>
      </c>
      <c r="D68" s="14" t="s">
        <v>48</v>
      </c>
      <c r="E68" s="14" t="s">
        <v>53</v>
      </c>
      <c r="F68" s="14" t="s">
        <v>65</v>
      </c>
      <c r="G68" s="14" t="s">
        <v>29</v>
      </c>
      <c r="H68" s="14" t="s">
        <v>44</v>
      </c>
      <c r="I68" s="14" t="s">
        <v>24</v>
      </c>
      <c r="J68" s="14" t="s">
        <v>46</v>
      </c>
      <c r="K68" s="16">
        <v>0.01</v>
      </c>
      <c r="L68" s="17">
        <v>42796</v>
      </c>
      <c r="M68" s="18">
        <v>135.99392599999999</v>
      </c>
      <c r="N68" s="18">
        <v>136.45421200000001</v>
      </c>
      <c r="O68" s="18">
        <v>136.701379</v>
      </c>
      <c r="P68" s="18">
        <v>133.798496</v>
      </c>
      <c r="Q68" s="18">
        <v>135.888847</v>
      </c>
      <c r="R68" s="18">
        <v>136.58275399999999</v>
      </c>
      <c r="S68" s="18">
        <v>137.35338400000001</v>
      </c>
      <c r="T68" s="18">
        <v>136.509266</v>
      </c>
      <c r="U68" s="19">
        <v>3.8E-3</v>
      </c>
      <c r="V68" s="19">
        <v>5.0200000000000002E-2</v>
      </c>
      <c r="W68" s="19">
        <v>5.96E-2</v>
      </c>
      <c r="X68" s="19">
        <v>0.10059999999999999</v>
      </c>
      <c r="Y68" s="19">
        <v>-8.6199999999999999E-2</v>
      </c>
      <c r="Z68" s="19">
        <v>2.2700000000000001E-2</v>
      </c>
      <c r="AA68" s="20">
        <v>208006303.90000001</v>
      </c>
      <c r="AB68" s="21">
        <f>IFERROR(AVERAGE($V68:$Z68),"")</f>
        <v>2.938E-2</v>
      </c>
      <c r="AC68" s="21">
        <f>IFERROR(_xlfn.STDEV.P($V68:$Z68),"")</f>
        <v>6.2964065942408776E-2</v>
      </c>
    </row>
    <row r="69" spans="1:29" ht="14.25" customHeight="1" x14ac:dyDescent="0.3">
      <c r="A69" s="14" t="s">
        <v>129</v>
      </c>
      <c r="B69" s="15" t="s">
        <v>101</v>
      </c>
      <c r="C69" s="14" t="s">
        <v>28</v>
      </c>
      <c r="D69" s="14" t="s">
        <v>48</v>
      </c>
      <c r="E69" s="14" t="s">
        <v>53</v>
      </c>
      <c r="F69" s="14" t="s">
        <v>21</v>
      </c>
      <c r="G69" s="14" t="s">
        <v>22</v>
      </c>
      <c r="H69" s="14" t="s">
        <v>23</v>
      </c>
      <c r="I69" s="14" t="s">
        <v>24</v>
      </c>
      <c r="J69" s="14" t="s">
        <v>39</v>
      </c>
      <c r="K69" s="16">
        <v>6.7999999999999996E-3</v>
      </c>
      <c r="L69" s="17">
        <v>45566</v>
      </c>
      <c r="M69" s="18">
        <v>106.420592</v>
      </c>
      <c r="N69" s="18">
        <v>106.843153</v>
      </c>
      <c r="O69" s="18">
        <v>104.80307999999999</v>
      </c>
      <c r="P69" s="18">
        <v>104.615984</v>
      </c>
      <c r="Q69" s="18">
        <v>105.158884</v>
      </c>
      <c r="R69" s="18">
        <v>104.42817599999999</v>
      </c>
      <c r="S69" s="18">
        <v>104.72066599999999</v>
      </c>
      <c r="T69" s="18">
        <v>104.90139000000001</v>
      </c>
      <c r="U69" s="19">
        <v>-1.43E-2</v>
      </c>
      <c r="V69" s="19">
        <v>5.5199999999999999E-2</v>
      </c>
      <c r="W69" s="19">
        <v>5.4999999999999997E-3</v>
      </c>
      <c r="X69" s="19" t="s">
        <v>26</v>
      </c>
      <c r="Y69" s="19" t="s">
        <v>26</v>
      </c>
      <c r="Z69" s="19" t="s">
        <v>26</v>
      </c>
      <c r="AA69" s="20">
        <v>20296928.370000001</v>
      </c>
      <c r="AB69" s="21">
        <f>IFERROR(AVERAGE($V69:$Z69),"")</f>
        <v>3.0349999999999999E-2</v>
      </c>
      <c r="AC69" s="21">
        <f>IFERROR(_xlfn.STDEV.P($V69:$Z69),"")</f>
        <v>2.4850000000000001E-2</v>
      </c>
    </row>
    <row r="70" spans="1:29" ht="14.25" customHeight="1" x14ac:dyDescent="0.3">
      <c r="A70" s="14" t="s">
        <v>130</v>
      </c>
      <c r="B70" s="15" t="s">
        <v>101</v>
      </c>
      <c r="C70" s="14" t="s">
        <v>28</v>
      </c>
      <c r="D70" s="14" t="s">
        <v>48</v>
      </c>
      <c r="E70" s="14" t="s">
        <v>53</v>
      </c>
      <c r="F70" s="14" t="s">
        <v>21</v>
      </c>
      <c r="G70" s="14" t="s">
        <v>22</v>
      </c>
      <c r="H70" s="14" t="s">
        <v>23</v>
      </c>
      <c r="I70" s="14" t="s">
        <v>24</v>
      </c>
      <c r="J70" s="14" t="s">
        <v>46</v>
      </c>
      <c r="K70" s="16">
        <v>0.01</v>
      </c>
      <c r="L70" s="17">
        <v>43257</v>
      </c>
      <c r="M70" s="18">
        <v>130.02842899999999</v>
      </c>
      <c r="N70" s="18">
        <v>130.78903700000001</v>
      </c>
      <c r="O70" s="18">
        <v>131.73119600000001</v>
      </c>
      <c r="P70" s="18">
        <v>128.10656800000001</v>
      </c>
      <c r="Q70" s="18">
        <v>130.80602300000001</v>
      </c>
      <c r="R70" s="18">
        <v>131.06434999999999</v>
      </c>
      <c r="S70" s="18">
        <v>131.46002200000001</v>
      </c>
      <c r="T70" s="18">
        <v>130.733892</v>
      </c>
      <c r="U70" s="19">
        <v>5.4000000000000003E-3</v>
      </c>
      <c r="V70" s="19">
        <v>6.8199999999999997E-2</v>
      </c>
      <c r="W70" s="19">
        <v>7.2300000000000003E-2</v>
      </c>
      <c r="X70" s="19">
        <v>7.0900000000000005E-2</v>
      </c>
      <c r="Y70" s="19">
        <v>-0.1028</v>
      </c>
      <c r="Z70" s="19">
        <v>1.2699999999999999E-2</v>
      </c>
      <c r="AA70" s="20">
        <v>199297676.99000001</v>
      </c>
      <c r="AB70" s="21">
        <f>IFERROR(AVERAGE($V70:$Z70),"")</f>
        <v>2.4260000000000007E-2</v>
      </c>
      <c r="AC70" s="21">
        <f>IFERROR(_xlfn.STDEV.P($V70:$Z70),"")</f>
        <v>6.7367250203641232E-2</v>
      </c>
    </row>
    <row r="71" spans="1:29" ht="14.25" customHeight="1" x14ac:dyDescent="0.3">
      <c r="A71" s="14" t="s">
        <v>131</v>
      </c>
      <c r="B71" s="15" t="s">
        <v>101</v>
      </c>
      <c r="C71" s="14" t="s">
        <v>28</v>
      </c>
      <c r="D71" s="14" t="s">
        <v>48</v>
      </c>
      <c r="E71" s="14" t="s">
        <v>53</v>
      </c>
      <c r="F71" s="14" t="s">
        <v>21</v>
      </c>
      <c r="G71" s="14" t="s">
        <v>22</v>
      </c>
      <c r="H71" s="14" t="s">
        <v>44</v>
      </c>
      <c r="I71" s="14" t="s">
        <v>24</v>
      </c>
      <c r="J71" s="14" t="s">
        <v>46</v>
      </c>
      <c r="K71" s="16">
        <v>8.5000000000000006E-3</v>
      </c>
      <c r="L71" s="17">
        <v>43347</v>
      </c>
      <c r="M71" s="18">
        <v>127.025977</v>
      </c>
      <c r="N71" s="18">
        <v>127.45643800000001</v>
      </c>
      <c r="O71" s="18">
        <v>128.28413599999999</v>
      </c>
      <c r="P71" s="18">
        <v>125.029954</v>
      </c>
      <c r="Q71" s="18">
        <v>127.02762300000001</v>
      </c>
      <c r="R71" s="18">
        <v>126.703125</v>
      </c>
      <c r="S71" s="18">
        <v>127.514706</v>
      </c>
      <c r="T71" s="18">
        <v>126.201702</v>
      </c>
      <c r="U71" s="19">
        <v>-6.4999999999999997E-3</v>
      </c>
      <c r="V71" s="19">
        <v>9.11E-2</v>
      </c>
      <c r="W71" s="19">
        <v>3.0599999999999999E-2</v>
      </c>
      <c r="X71" s="19">
        <v>5.9499999999999997E-2</v>
      </c>
      <c r="Y71" s="19">
        <v>-0.1081</v>
      </c>
      <c r="Z71" s="19">
        <v>-2.18E-2</v>
      </c>
      <c r="AA71" s="20">
        <v>225740873.86000001</v>
      </c>
      <c r="AB71" s="21">
        <f>IFERROR(AVERAGE($V71:$Z71),"")</f>
        <v>1.026E-2</v>
      </c>
      <c r="AC71" s="21">
        <f>IFERROR(_xlfn.STDEV.P($V71:$Z71),"")</f>
        <v>6.9871785435896797E-2</v>
      </c>
    </row>
    <row r="72" spans="1:29" ht="14.25" customHeight="1" x14ac:dyDescent="0.3">
      <c r="A72" s="14" t="s">
        <v>132</v>
      </c>
      <c r="B72" s="15" t="s">
        <v>101</v>
      </c>
      <c r="C72" s="14" t="s">
        <v>28</v>
      </c>
      <c r="D72" s="14" t="s">
        <v>48</v>
      </c>
      <c r="E72" s="14" t="s">
        <v>53</v>
      </c>
      <c r="F72" s="14" t="s">
        <v>21</v>
      </c>
      <c r="G72" s="14" t="s">
        <v>22</v>
      </c>
      <c r="H72" s="14" t="s">
        <v>44</v>
      </c>
      <c r="I72" s="14" t="s">
        <v>45</v>
      </c>
      <c r="J72" s="14" t="s">
        <v>46</v>
      </c>
      <c r="K72" s="16">
        <v>7.0000000000000001E-3</v>
      </c>
      <c r="L72" s="17">
        <v>44028</v>
      </c>
      <c r="M72" s="18">
        <v>110.197007</v>
      </c>
      <c r="N72" s="18">
        <v>111.598309</v>
      </c>
      <c r="O72" s="18">
        <v>112.75774699999999</v>
      </c>
      <c r="P72" s="18">
        <v>108.74423400000001</v>
      </c>
      <c r="Q72" s="18">
        <v>110.139961</v>
      </c>
      <c r="R72" s="18">
        <v>111.65992900000001</v>
      </c>
      <c r="S72" s="18">
        <v>112.396401</v>
      </c>
      <c r="T72" s="18">
        <v>111.51714</v>
      </c>
      <c r="U72" s="19">
        <v>1.2E-2</v>
      </c>
      <c r="V72" s="19">
        <v>9.1200000000000003E-2</v>
      </c>
      <c r="W72" s="19">
        <v>2.4299999999999999E-2</v>
      </c>
      <c r="X72" s="19">
        <v>7.5200000000000003E-2</v>
      </c>
      <c r="Y72" s="19">
        <v>-0.1241</v>
      </c>
      <c r="Z72" s="19">
        <v>-4.1999999999999997E-3</v>
      </c>
      <c r="AA72" s="20">
        <v>63547247.649999999</v>
      </c>
      <c r="AB72" s="21">
        <f>IFERROR(AVERAGE($V72:$Z72),"")</f>
        <v>1.2480000000000002E-2</v>
      </c>
      <c r="AC72" s="21">
        <f>IFERROR(_xlfn.STDEV.P($V72:$Z72),"")</f>
        <v>7.6423383855990054E-2</v>
      </c>
    </row>
    <row r="73" spans="1:29" ht="14.25" customHeight="1" x14ac:dyDescent="0.3">
      <c r="A73" s="14" t="s">
        <v>134</v>
      </c>
      <c r="B73" s="15" t="s">
        <v>101</v>
      </c>
      <c r="C73" s="14" t="s">
        <v>28</v>
      </c>
      <c r="D73" s="14" t="s">
        <v>48</v>
      </c>
      <c r="E73" s="14" t="s">
        <v>49</v>
      </c>
      <c r="F73" s="14" t="s">
        <v>21</v>
      </c>
      <c r="G73" s="14" t="s">
        <v>29</v>
      </c>
      <c r="H73" s="14" t="s">
        <v>44</v>
      </c>
      <c r="I73" s="14" t="s">
        <v>24</v>
      </c>
      <c r="J73" s="14" t="s">
        <v>46</v>
      </c>
      <c r="K73" s="16">
        <v>9.4999999999999998E-3</v>
      </c>
      <c r="L73" s="17">
        <v>41358</v>
      </c>
      <c r="M73" s="18">
        <v>122.179089</v>
      </c>
      <c r="N73" s="18">
        <v>122.661976</v>
      </c>
      <c r="O73" s="18">
        <v>123.763333</v>
      </c>
      <c r="P73" s="18">
        <v>120.77412699999999</v>
      </c>
      <c r="Q73" s="18">
        <v>122.498769</v>
      </c>
      <c r="R73" s="18">
        <v>123.211142</v>
      </c>
      <c r="S73" s="18">
        <v>123.779545</v>
      </c>
      <c r="T73" s="18">
        <v>122.573498</v>
      </c>
      <c r="U73" s="19">
        <v>3.2000000000000002E-3</v>
      </c>
      <c r="V73" s="19">
        <v>7.1300000000000002E-2</v>
      </c>
      <c r="W73" s="19">
        <v>3.3700000000000001E-2</v>
      </c>
      <c r="X73" s="19">
        <v>5.5500000000000001E-2</v>
      </c>
      <c r="Y73" s="19">
        <v>-0.1555</v>
      </c>
      <c r="Z73" s="19">
        <v>-1.17E-2</v>
      </c>
      <c r="AA73" s="20">
        <v>28227620.039999999</v>
      </c>
      <c r="AB73" s="21">
        <f>IFERROR(AVERAGE($V73:$Z73),"")</f>
        <v>-1.3399999999999992E-3</v>
      </c>
      <c r="AC73" s="21">
        <f>IFERROR(_xlfn.STDEV.P($V73:$Z73),"")</f>
        <v>8.1985110843372053E-2</v>
      </c>
    </row>
    <row r="74" spans="1:29" ht="14.25" customHeight="1" x14ac:dyDescent="0.3">
      <c r="A74" s="14" t="s">
        <v>135</v>
      </c>
      <c r="B74" s="15" t="s">
        <v>101</v>
      </c>
      <c r="C74" s="14" t="s">
        <v>18</v>
      </c>
      <c r="D74" s="14" t="s">
        <v>41</v>
      </c>
      <c r="E74" s="14" t="s">
        <v>71</v>
      </c>
      <c r="F74" s="14" t="s">
        <v>43</v>
      </c>
      <c r="G74" s="14" t="s">
        <v>29</v>
      </c>
      <c r="H74" s="14" t="s">
        <v>44</v>
      </c>
      <c r="I74" s="14" t="s">
        <v>24</v>
      </c>
      <c r="J74" s="14" t="s">
        <v>136</v>
      </c>
      <c r="K74" s="16">
        <v>3.2500000000000001E-2</v>
      </c>
      <c r="L74" s="17">
        <v>39618</v>
      </c>
      <c r="M74" s="18">
        <v>195.086491</v>
      </c>
      <c r="N74" s="18">
        <v>217.420894</v>
      </c>
      <c r="O74" s="18">
        <v>225.87343100000001</v>
      </c>
      <c r="P74" s="18">
        <v>212.42955900000001</v>
      </c>
      <c r="Q74" s="18">
        <v>208.12108900000001</v>
      </c>
      <c r="R74" s="18">
        <v>219.97628499999999</v>
      </c>
      <c r="S74" s="18">
        <v>226.718435</v>
      </c>
      <c r="T74" s="18">
        <v>231.064412</v>
      </c>
      <c r="U74" s="19">
        <v>0.18440000000000001</v>
      </c>
      <c r="V74" s="19">
        <v>0.2258</v>
      </c>
      <c r="W74" s="19">
        <v>8.5300000000000001E-2</v>
      </c>
      <c r="X74" s="19">
        <v>0.15609999999999999</v>
      </c>
      <c r="Y74" s="19">
        <v>-7.0000000000000001E-3</v>
      </c>
      <c r="Z74" s="19">
        <v>1.44E-2</v>
      </c>
      <c r="AA74" s="20">
        <v>134012837.08</v>
      </c>
      <c r="AB74" s="21">
        <f>IFERROR(AVERAGE($V74:$Z74),"")</f>
        <v>9.491999999999999E-2</v>
      </c>
      <c r="AC74" s="21">
        <f>IFERROR(_xlfn.STDEV.P($V74:$Z74),"")</f>
        <v>8.698996263937582E-2</v>
      </c>
    </row>
    <row r="75" spans="1:29" ht="14.25" customHeight="1" x14ac:dyDescent="0.3">
      <c r="A75" s="14" t="s">
        <v>137</v>
      </c>
      <c r="B75" s="15" t="s">
        <v>101</v>
      </c>
      <c r="C75" s="14" t="s">
        <v>28</v>
      </c>
      <c r="D75" s="14" t="s">
        <v>48</v>
      </c>
      <c r="E75" s="14" t="s">
        <v>49</v>
      </c>
      <c r="F75" s="14" t="s">
        <v>49</v>
      </c>
      <c r="G75" s="14" t="s">
        <v>22</v>
      </c>
      <c r="H75" s="14" t="s">
        <v>54</v>
      </c>
      <c r="I75" s="14" t="s">
        <v>24</v>
      </c>
      <c r="J75" s="14" t="s">
        <v>138</v>
      </c>
      <c r="K75" s="16">
        <v>0.03</v>
      </c>
      <c r="L75" s="17">
        <v>39150</v>
      </c>
      <c r="M75" s="18">
        <v>171.405869</v>
      </c>
      <c r="N75" s="18">
        <v>184.256066</v>
      </c>
      <c r="O75" s="18">
        <v>189.28590600000001</v>
      </c>
      <c r="P75" s="18">
        <v>181.50492</v>
      </c>
      <c r="Q75" s="18">
        <v>179.555463</v>
      </c>
      <c r="R75" s="18">
        <v>186.986986</v>
      </c>
      <c r="S75" s="18">
        <v>190.88653199999999</v>
      </c>
      <c r="T75" s="18">
        <v>193.22850600000001</v>
      </c>
      <c r="U75" s="19">
        <v>0.1273</v>
      </c>
      <c r="V75" s="19">
        <v>0.19320000000000001</v>
      </c>
      <c r="W75" s="19">
        <v>5.67E-2</v>
      </c>
      <c r="X75" s="19">
        <v>0.12809999999999999</v>
      </c>
      <c r="Y75" s="19">
        <v>-3.5999999999999999E-3</v>
      </c>
      <c r="Z75" s="19">
        <v>-3.1699999999999999E-2</v>
      </c>
      <c r="AA75" s="20">
        <v>81638370.189999998</v>
      </c>
      <c r="AB75" s="21">
        <f>IFERROR(AVERAGE($V75:$Z75),"")</f>
        <v>6.8540000000000004E-2</v>
      </c>
      <c r="AC75" s="21">
        <f>IFERROR(_xlfn.STDEV.P($V75:$Z75),"")</f>
        <v>8.3042076081947747E-2</v>
      </c>
    </row>
    <row r="76" spans="1:29" ht="14.25" customHeight="1" x14ac:dyDescent="0.3">
      <c r="A76" s="14" t="s">
        <v>139</v>
      </c>
      <c r="B76" s="15" t="s">
        <v>101</v>
      </c>
      <c r="C76" s="14" t="s">
        <v>18</v>
      </c>
      <c r="D76" s="14" t="s">
        <v>48</v>
      </c>
      <c r="E76" s="14" t="s">
        <v>49</v>
      </c>
      <c r="F76" s="14" t="s">
        <v>49</v>
      </c>
      <c r="G76" s="14" t="s">
        <v>29</v>
      </c>
      <c r="H76" s="14" t="s">
        <v>54</v>
      </c>
      <c r="I76" s="14" t="s">
        <v>24</v>
      </c>
      <c r="J76" s="14" t="s">
        <v>140</v>
      </c>
      <c r="K76" s="16">
        <v>2.75E-2</v>
      </c>
      <c r="L76" s="17">
        <v>39615</v>
      </c>
      <c r="M76" s="18">
        <v>175.73346900000001</v>
      </c>
      <c r="N76" s="18">
        <v>182.47808800000001</v>
      </c>
      <c r="O76" s="18">
        <v>184.73463100000001</v>
      </c>
      <c r="P76" s="18">
        <v>179.66824500000001</v>
      </c>
      <c r="Q76" s="18">
        <v>179.852633</v>
      </c>
      <c r="R76" s="18">
        <v>182.959474</v>
      </c>
      <c r="S76" s="18">
        <v>185.64799300000001</v>
      </c>
      <c r="T76" s="18">
        <v>187.23541700000001</v>
      </c>
      <c r="U76" s="19">
        <v>6.5500000000000003E-2</v>
      </c>
      <c r="V76" s="19">
        <v>0.1033</v>
      </c>
      <c r="W76" s="19">
        <v>6.1100000000000002E-2</v>
      </c>
      <c r="X76" s="19">
        <v>8.8099999999999998E-2</v>
      </c>
      <c r="Y76" s="19">
        <v>-2.0000000000000001E-4</v>
      </c>
      <c r="Z76" s="19">
        <v>-2.47E-2</v>
      </c>
      <c r="AA76" s="20">
        <v>48801938.439999998</v>
      </c>
      <c r="AB76" s="21">
        <f>IFERROR(AVERAGE($V76:$Z76),"")</f>
        <v>4.5520000000000005E-2</v>
      </c>
      <c r="AC76" s="21">
        <f>IFERROR(_xlfn.STDEV.P($V76:$Z76),"")</f>
        <v>4.9830689339000721E-2</v>
      </c>
    </row>
    <row r="77" spans="1:29" ht="14.25" customHeight="1" x14ac:dyDescent="0.3">
      <c r="A77" s="14" t="s">
        <v>141</v>
      </c>
      <c r="B77" s="15" t="s">
        <v>101</v>
      </c>
      <c r="C77" s="14" t="s">
        <v>28</v>
      </c>
      <c r="D77" s="14" t="s">
        <v>48</v>
      </c>
      <c r="E77" s="14" t="s">
        <v>49</v>
      </c>
      <c r="F77" s="14" t="s">
        <v>49</v>
      </c>
      <c r="G77" s="14" t="s">
        <v>22</v>
      </c>
      <c r="H77" s="14" t="s">
        <v>54</v>
      </c>
      <c r="I77" s="14" t="s">
        <v>24</v>
      </c>
      <c r="J77" s="14" t="s">
        <v>140</v>
      </c>
      <c r="K77" s="16">
        <v>2.75E-2</v>
      </c>
      <c r="L77" s="17">
        <v>37513</v>
      </c>
      <c r="M77" s="18">
        <v>62.384534000000002</v>
      </c>
      <c r="N77" s="18">
        <v>64.552458000000001</v>
      </c>
      <c r="O77" s="18">
        <v>65.317466999999994</v>
      </c>
      <c r="P77" s="18">
        <v>64.036278999999993</v>
      </c>
      <c r="Q77" s="18">
        <v>63.894665000000003</v>
      </c>
      <c r="R77" s="18">
        <v>64.939148000000003</v>
      </c>
      <c r="S77" s="18">
        <v>65.514831999999998</v>
      </c>
      <c r="T77" s="18">
        <v>65.899671999999995</v>
      </c>
      <c r="U77" s="19">
        <v>5.6300000000000003E-2</v>
      </c>
      <c r="V77" s="19">
        <v>9.7199999999999995E-2</v>
      </c>
      <c r="W77" s="19">
        <v>3.5400000000000001E-2</v>
      </c>
      <c r="X77" s="19">
        <v>7.6600000000000001E-2</v>
      </c>
      <c r="Y77" s="19">
        <v>-1.66E-2</v>
      </c>
      <c r="Z77" s="19">
        <v>-2.29E-2</v>
      </c>
      <c r="AA77" s="20">
        <v>60661772.960000001</v>
      </c>
      <c r="AB77" s="21">
        <f>IFERROR(AVERAGE($V77:$Z77),"")</f>
        <v>3.3939999999999998E-2</v>
      </c>
      <c r="AC77" s="21">
        <f>IFERROR(_xlfn.STDEV.P($V77:$Z77),"")</f>
        <v>4.8184877295682715E-2</v>
      </c>
    </row>
    <row r="78" spans="1:29" ht="14.25" customHeight="1" x14ac:dyDescent="0.3">
      <c r="A78" s="14" t="s">
        <v>142</v>
      </c>
      <c r="B78" s="15" t="s">
        <v>101</v>
      </c>
      <c r="C78" s="14" t="s">
        <v>28</v>
      </c>
      <c r="D78" s="14" t="s">
        <v>48</v>
      </c>
      <c r="E78" s="14" t="s">
        <v>53</v>
      </c>
      <c r="F78" s="14" t="s">
        <v>21</v>
      </c>
      <c r="G78" s="14" t="s">
        <v>22</v>
      </c>
      <c r="H78" s="14" t="s">
        <v>44</v>
      </c>
      <c r="I78" s="14" t="s">
        <v>45</v>
      </c>
      <c r="J78" s="14" t="s">
        <v>46</v>
      </c>
      <c r="K78" s="16">
        <v>1.6E-2</v>
      </c>
      <c r="L78" s="17">
        <v>42410</v>
      </c>
      <c r="M78" s="18">
        <v>179.50302500000001</v>
      </c>
      <c r="N78" s="18">
        <v>182.163115</v>
      </c>
      <c r="O78" s="18">
        <v>184.226831</v>
      </c>
      <c r="P78" s="18">
        <v>174.58667600000001</v>
      </c>
      <c r="Q78" s="18">
        <v>185.52981399999999</v>
      </c>
      <c r="R78" s="18">
        <v>190.91603499999999</v>
      </c>
      <c r="S78" s="18">
        <v>190.30080699999999</v>
      </c>
      <c r="T78" s="18">
        <v>188.38952499999999</v>
      </c>
      <c r="U78" s="19">
        <v>4.9500000000000002E-2</v>
      </c>
      <c r="V78" s="19">
        <v>0.13950000000000001</v>
      </c>
      <c r="W78" s="19">
        <v>9.1200000000000003E-2</v>
      </c>
      <c r="X78" s="19">
        <v>0.11749999999999999</v>
      </c>
      <c r="Y78" s="19">
        <v>-0.1779</v>
      </c>
      <c r="Z78" s="19">
        <v>8.2400000000000001E-2</v>
      </c>
      <c r="AA78" s="20">
        <v>36016497.479999997</v>
      </c>
      <c r="AB78" s="21">
        <f>IFERROR(AVERAGE($V78:$Z78),"")</f>
        <v>5.0540000000000009E-2</v>
      </c>
      <c r="AC78" s="21">
        <f>IFERROR(_xlfn.STDEV.P($V78:$Z78),"")</f>
        <v>0.11597469724038947</v>
      </c>
    </row>
    <row r="79" spans="1:29" ht="14.25" customHeight="1" x14ac:dyDescent="0.3">
      <c r="A79" s="14" t="s">
        <v>143</v>
      </c>
      <c r="B79" s="15" t="s">
        <v>101</v>
      </c>
      <c r="C79" s="14" t="s">
        <v>28</v>
      </c>
      <c r="D79" s="14" t="s">
        <v>48</v>
      </c>
      <c r="E79" s="14" t="s">
        <v>53</v>
      </c>
      <c r="F79" s="14" t="s">
        <v>21</v>
      </c>
      <c r="G79" s="14" t="s">
        <v>22</v>
      </c>
      <c r="H79" s="14" t="s">
        <v>54</v>
      </c>
      <c r="I79" s="14" t="s">
        <v>45</v>
      </c>
      <c r="J79" s="14" t="s">
        <v>46</v>
      </c>
      <c r="K79" s="16">
        <v>1.2999999999999999E-2</v>
      </c>
      <c r="L79" s="17">
        <v>42408</v>
      </c>
      <c r="M79" s="18">
        <v>160.157262</v>
      </c>
      <c r="N79" s="18">
        <v>161.9699</v>
      </c>
      <c r="O79" s="18">
        <v>163.62669700000001</v>
      </c>
      <c r="P79" s="18">
        <v>156.779664</v>
      </c>
      <c r="Q79" s="18">
        <v>163.79863499999999</v>
      </c>
      <c r="R79" s="18">
        <v>167.14540299999999</v>
      </c>
      <c r="S79" s="18">
        <v>167.14839900000001</v>
      </c>
      <c r="T79" s="18">
        <v>165.55604199999999</v>
      </c>
      <c r="U79" s="19">
        <v>3.3700000000000001E-2</v>
      </c>
      <c r="V79" s="19">
        <v>0.11559999999999999</v>
      </c>
      <c r="W79" s="19">
        <v>7.1300000000000002E-2</v>
      </c>
      <c r="X79" s="19">
        <v>9.5600000000000004E-2</v>
      </c>
      <c r="Y79" s="19">
        <v>-0.1666</v>
      </c>
      <c r="Z79" s="19">
        <v>5.1299999999999998E-2</v>
      </c>
      <c r="AA79" s="20">
        <v>107372701.06999999</v>
      </c>
      <c r="AB79" s="21">
        <f>IFERROR(AVERAGE($V79:$Z79),"")</f>
        <v>3.3440000000000004E-2</v>
      </c>
      <c r="AC79" s="21">
        <f>IFERROR(_xlfn.STDEV.P($V79:$Z79),"")</f>
        <v>0.1023547673535532</v>
      </c>
    </row>
    <row r="80" spans="1:29" ht="14.25" customHeight="1" x14ac:dyDescent="0.3">
      <c r="A80" s="14" t="s">
        <v>144</v>
      </c>
      <c r="B80" s="15" t="s">
        <v>101</v>
      </c>
      <c r="C80" s="14" t="s">
        <v>28</v>
      </c>
      <c r="D80" s="14" t="s">
        <v>48</v>
      </c>
      <c r="E80" s="14" t="s">
        <v>53</v>
      </c>
      <c r="F80" s="14" t="s">
        <v>21</v>
      </c>
      <c r="G80" s="14" t="s">
        <v>29</v>
      </c>
      <c r="H80" s="14" t="s">
        <v>44</v>
      </c>
      <c r="I80" s="14" t="s">
        <v>45</v>
      </c>
      <c r="J80" s="14" t="s">
        <v>46</v>
      </c>
      <c r="K80" s="16">
        <v>0.01</v>
      </c>
      <c r="L80" s="17">
        <v>44536</v>
      </c>
      <c r="M80" s="18">
        <v>97.950035999999997</v>
      </c>
      <c r="N80" s="18">
        <v>101.099496</v>
      </c>
      <c r="O80" s="18">
        <v>101.32304999999999</v>
      </c>
      <c r="P80" s="18">
        <v>93.296871999999993</v>
      </c>
      <c r="Q80" s="18">
        <v>96.804304999999999</v>
      </c>
      <c r="R80" s="18">
        <v>102.940406</v>
      </c>
      <c r="S80" s="18">
        <v>106.871177</v>
      </c>
      <c r="T80" s="18">
        <v>107.303747</v>
      </c>
      <c r="U80" s="19">
        <v>9.5500000000000002E-2</v>
      </c>
      <c r="V80" s="19">
        <v>0.17150000000000001</v>
      </c>
      <c r="W80" s="19">
        <v>2.23E-2</v>
      </c>
      <c r="X80" s="19">
        <v>7.8E-2</v>
      </c>
      <c r="Y80" s="19">
        <v>-0.22420000000000001</v>
      </c>
      <c r="Z80" s="19">
        <v>2.1499999999999998E-2</v>
      </c>
      <c r="AA80" s="20">
        <v>4651799.2699999996</v>
      </c>
      <c r="AB80" s="21">
        <f>IFERROR(AVERAGE($V80:$Z80),"")</f>
        <v>1.3820000000000004E-2</v>
      </c>
      <c r="AC80" s="21">
        <f>IFERROR(_xlfn.STDEV.P($V80:$Z80),"")</f>
        <v>0.13097058295663191</v>
      </c>
    </row>
    <row r="81" spans="1:29" ht="14.25" customHeight="1" x14ac:dyDescent="0.3">
      <c r="A81" s="14" t="s">
        <v>145</v>
      </c>
      <c r="B81" s="15" t="s">
        <v>101</v>
      </c>
      <c r="C81" s="14" t="s">
        <v>28</v>
      </c>
      <c r="D81" s="14" t="s">
        <v>48</v>
      </c>
      <c r="E81" s="14" t="s">
        <v>53</v>
      </c>
      <c r="F81" s="14" t="s">
        <v>21</v>
      </c>
      <c r="G81" s="14" t="s">
        <v>22</v>
      </c>
      <c r="H81" s="14" t="s">
        <v>54</v>
      </c>
      <c r="I81" s="14" t="s">
        <v>45</v>
      </c>
      <c r="J81" s="14" t="s">
        <v>46</v>
      </c>
      <c r="K81" s="16">
        <v>0.01</v>
      </c>
      <c r="L81" s="17">
        <v>42408</v>
      </c>
      <c r="M81" s="18">
        <v>129.05197799999999</v>
      </c>
      <c r="N81" s="18">
        <v>129.76459700000001</v>
      </c>
      <c r="O81" s="18">
        <v>130.748537</v>
      </c>
      <c r="P81" s="18">
        <v>127.522093</v>
      </c>
      <c r="Q81" s="18">
        <v>129.76858300000001</v>
      </c>
      <c r="R81" s="18">
        <v>130.71179799999999</v>
      </c>
      <c r="S81" s="18">
        <v>131.26749699999999</v>
      </c>
      <c r="T81" s="18">
        <v>130.24631400000001</v>
      </c>
      <c r="U81" s="19">
        <v>9.2999999999999992E-3</v>
      </c>
      <c r="V81" s="19">
        <v>7.5800000000000006E-2</v>
      </c>
      <c r="W81" s="19">
        <v>4.0099999999999997E-2</v>
      </c>
      <c r="X81" s="19">
        <v>5.79E-2</v>
      </c>
      <c r="Y81" s="19">
        <v>-0.13880000000000001</v>
      </c>
      <c r="Z81" s="19">
        <v>2.7000000000000001E-3</v>
      </c>
      <c r="AA81" s="20">
        <v>47520856.890000001</v>
      </c>
      <c r="AB81" s="21">
        <f>IFERROR(AVERAGE($V81:$Z81),"")</f>
        <v>7.5400000000000007E-3</v>
      </c>
      <c r="AC81" s="21">
        <f>IFERROR(_xlfn.STDEV.P($V81:$Z81),"")</f>
        <v>7.7064300425034676E-2</v>
      </c>
    </row>
    <row r="82" spans="1:29" ht="14.25" customHeight="1" x14ac:dyDescent="0.3">
      <c r="A82" s="14" t="s">
        <v>146</v>
      </c>
      <c r="B82" s="15" t="s">
        <v>101</v>
      </c>
      <c r="C82" s="14" t="s">
        <v>18</v>
      </c>
      <c r="D82" s="14" t="s">
        <v>48</v>
      </c>
      <c r="E82" s="14" t="s">
        <v>49</v>
      </c>
      <c r="F82" s="14" t="s">
        <v>49</v>
      </c>
      <c r="G82" s="14" t="s">
        <v>29</v>
      </c>
      <c r="H82" s="14" t="s">
        <v>54</v>
      </c>
      <c r="I82" s="14" t="s">
        <v>24</v>
      </c>
      <c r="J82" s="14" t="s">
        <v>46</v>
      </c>
      <c r="K82" s="16">
        <v>0.03</v>
      </c>
      <c r="L82" s="17">
        <v>39615</v>
      </c>
      <c r="M82" s="18">
        <v>113.836613</v>
      </c>
      <c r="N82" s="18">
        <v>114.90415</v>
      </c>
      <c r="O82" s="18">
        <v>116.080484</v>
      </c>
      <c r="P82" s="18">
        <v>115.76621299999999</v>
      </c>
      <c r="Q82" s="18">
        <v>121.815502</v>
      </c>
      <c r="R82" s="18">
        <v>120.84125</v>
      </c>
      <c r="S82" s="18">
        <v>120.687763</v>
      </c>
      <c r="T82" s="18">
        <v>119.083676</v>
      </c>
      <c r="U82" s="19">
        <v>4.6100000000000002E-2</v>
      </c>
      <c r="V82" s="19">
        <v>-2.3999999999999998E-3</v>
      </c>
      <c r="W82" s="19">
        <v>8.8300000000000003E-2</v>
      </c>
      <c r="X82" s="19">
        <v>6.6199999999999995E-2</v>
      </c>
      <c r="Y82" s="19">
        <v>-0.20269999999999999</v>
      </c>
      <c r="Z82" s="19">
        <v>-5.7299999999999997E-2</v>
      </c>
      <c r="AA82" s="20">
        <v>7527823.8099999996</v>
      </c>
      <c r="AB82" s="21">
        <f>IFERROR(AVERAGE($V82:$Z82),"")</f>
        <v>-2.1579999999999995E-2</v>
      </c>
      <c r="AC82" s="21">
        <f>IFERROR(_xlfn.STDEV.P($V82:$Z82),"")</f>
        <v>0.10414143075644773</v>
      </c>
    </row>
    <row r="83" spans="1:29" ht="14.25" customHeight="1" x14ac:dyDescent="0.3">
      <c r="A83" s="14" t="s">
        <v>147</v>
      </c>
      <c r="B83" s="15" t="s">
        <v>101</v>
      </c>
      <c r="C83" s="14" t="s">
        <v>18</v>
      </c>
      <c r="D83" s="14" t="s">
        <v>34</v>
      </c>
      <c r="E83" s="14" t="s">
        <v>20</v>
      </c>
      <c r="F83" s="14" t="s">
        <v>21</v>
      </c>
      <c r="G83" s="14" t="s">
        <v>22</v>
      </c>
      <c r="H83" s="14" t="s">
        <v>23</v>
      </c>
      <c r="I83" s="14" t="s">
        <v>24</v>
      </c>
      <c r="J83" s="14" t="s">
        <v>35</v>
      </c>
      <c r="K83" s="16">
        <v>7.7000000000000002E-3</v>
      </c>
      <c r="L83" s="17">
        <v>36622</v>
      </c>
      <c r="M83" s="18">
        <v>350.75661400000001</v>
      </c>
      <c r="N83" s="18">
        <v>351.96363200000002</v>
      </c>
      <c r="O83" s="18">
        <v>352.93574599999999</v>
      </c>
      <c r="P83" s="18">
        <v>354.04114800000002</v>
      </c>
      <c r="Q83" s="18">
        <v>355.20415800000001</v>
      </c>
      <c r="R83" s="18">
        <v>356.42191600000001</v>
      </c>
      <c r="S83" s="18">
        <v>357.63221700000003</v>
      </c>
      <c r="T83" s="18">
        <v>358.82808499999999</v>
      </c>
      <c r="U83" s="19">
        <v>2.3E-2</v>
      </c>
      <c r="V83" s="19">
        <v>4.2799999999999998E-2</v>
      </c>
      <c r="W83" s="19">
        <v>5.4899999999999997E-2</v>
      </c>
      <c r="X83" s="19">
        <v>7.2099999999999997E-2</v>
      </c>
      <c r="Y83" s="19">
        <v>4.5699999999999998E-2</v>
      </c>
      <c r="Z83" s="19">
        <v>2E-3</v>
      </c>
      <c r="AA83" s="20">
        <v>3281456302.8499999</v>
      </c>
      <c r="AB83" s="21">
        <f>IFERROR(AVERAGE($V83:$Z83),"")</f>
        <v>4.3499999999999997E-2</v>
      </c>
      <c r="AC83" s="21">
        <f>IFERROR(_xlfn.STDEV.P($V83:$Z83),"")</f>
        <v>2.3132228599942548E-2</v>
      </c>
    </row>
    <row r="84" spans="1:29" ht="14.25" customHeight="1" x14ac:dyDescent="0.3">
      <c r="A84" s="14" t="s">
        <v>148</v>
      </c>
      <c r="B84" s="15" t="s">
        <v>101</v>
      </c>
      <c r="C84" s="14" t="s">
        <v>28</v>
      </c>
      <c r="D84" s="14" t="s">
        <v>34</v>
      </c>
      <c r="E84" s="14" t="s">
        <v>20</v>
      </c>
      <c r="F84" s="14" t="s">
        <v>21</v>
      </c>
      <c r="G84" s="14" t="s">
        <v>22</v>
      </c>
      <c r="H84" s="14" t="s">
        <v>23</v>
      </c>
      <c r="I84" s="14" t="s">
        <v>24</v>
      </c>
      <c r="J84" s="14" t="s">
        <v>35</v>
      </c>
      <c r="K84" s="16">
        <v>5.4000000000000003E-3</v>
      </c>
      <c r="L84" s="17">
        <v>36286</v>
      </c>
      <c r="M84" s="18">
        <v>196.344898</v>
      </c>
      <c r="N84" s="18">
        <v>196.89864</v>
      </c>
      <c r="O84" s="18">
        <v>197.39663999999999</v>
      </c>
      <c r="P84" s="18">
        <v>197.90953500000001</v>
      </c>
      <c r="Q84" s="18">
        <v>198.45799500000001</v>
      </c>
      <c r="R84" s="18">
        <v>198.953923</v>
      </c>
      <c r="S84" s="18">
        <v>199.47372200000001</v>
      </c>
      <c r="T84" s="18">
        <v>200.02155300000001</v>
      </c>
      <c r="U84" s="19">
        <v>1.8700000000000001E-2</v>
      </c>
      <c r="V84" s="19">
        <v>3.8300000000000001E-2</v>
      </c>
      <c r="W84" s="19">
        <v>4.9299999999999997E-2</v>
      </c>
      <c r="X84" s="19">
        <v>4.8300000000000003E-2</v>
      </c>
      <c r="Y84" s="19">
        <v>1.5800000000000002E-2</v>
      </c>
      <c r="Z84" s="19">
        <v>2.8E-3</v>
      </c>
      <c r="AA84" s="20">
        <v>6244395030.0299997</v>
      </c>
      <c r="AB84" s="21">
        <f>IFERROR(AVERAGE($V84:$Z84),"")</f>
        <v>3.09E-2</v>
      </c>
      <c r="AC84" s="21">
        <f>IFERROR(_xlfn.STDEV.P($V84:$Z84),"")</f>
        <v>1.8513238506539041E-2</v>
      </c>
    </row>
    <row r="85" spans="1:29" ht="14.25" customHeight="1" x14ac:dyDescent="0.3">
      <c r="A85" s="14" t="s">
        <v>149</v>
      </c>
      <c r="B85" s="15" t="s">
        <v>101</v>
      </c>
      <c r="C85" s="14" t="s">
        <v>18</v>
      </c>
      <c r="D85" s="14" t="s">
        <v>78</v>
      </c>
      <c r="E85" s="14" t="s">
        <v>79</v>
      </c>
      <c r="F85" s="14" t="s">
        <v>150</v>
      </c>
      <c r="G85" s="14" t="s">
        <v>22</v>
      </c>
      <c r="H85" s="14" t="s">
        <v>54</v>
      </c>
      <c r="I85" s="14" t="s">
        <v>24</v>
      </c>
      <c r="J85" s="14" t="s">
        <v>88</v>
      </c>
      <c r="K85" s="16">
        <v>7.4999999999999997E-3</v>
      </c>
      <c r="L85" s="17">
        <v>44172</v>
      </c>
      <c r="M85" s="18">
        <v>101.113406</v>
      </c>
      <c r="N85" s="18">
        <v>101.402854</v>
      </c>
      <c r="O85" s="18">
        <v>101.615174</v>
      </c>
      <c r="P85" s="18">
        <v>101.928077</v>
      </c>
      <c r="Q85" s="18">
        <v>102.240861</v>
      </c>
      <c r="R85" s="18">
        <v>112.00990400000001</v>
      </c>
      <c r="S85" s="18">
        <v>112.352869</v>
      </c>
      <c r="T85" s="18">
        <v>112.69337400000001</v>
      </c>
      <c r="U85" s="19">
        <v>0.1145</v>
      </c>
      <c r="V85" s="19">
        <v>-0.22239999999999999</v>
      </c>
      <c r="W85" s="19">
        <v>7.4499999999999997E-2</v>
      </c>
      <c r="X85" s="19">
        <v>8.2900000000000001E-2</v>
      </c>
      <c r="Y85" s="19">
        <v>6.7299999999999999E-2</v>
      </c>
      <c r="Z85" s="19">
        <v>4.1799999999999997E-2</v>
      </c>
      <c r="AA85" s="20">
        <v>66115039.329999998</v>
      </c>
      <c r="AB85" s="21">
        <f>IFERROR(AVERAGE($V85:$Z85),"")</f>
        <v>8.8200000000000049E-3</v>
      </c>
      <c r="AC85" s="21">
        <f>IFERROR(_xlfn.STDEV.P($V85:$Z85),"")</f>
        <v>0.11642335504528289</v>
      </c>
    </row>
    <row r="86" spans="1:29" ht="14.25" customHeight="1" x14ac:dyDescent="0.3">
      <c r="A86" s="14" t="s">
        <v>151</v>
      </c>
      <c r="B86" s="15" t="s">
        <v>101</v>
      </c>
      <c r="C86" s="14" t="s">
        <v>28</v>
      </c>
      <c r="D86" s="14" t="s">
        <v>78</v>
      </c>
      <c r="E86" s="14" t="s">
        <v>79</v>
      </c>
      <c r="F86" s="14" t="s">
        <v>150</v>
      </c>
      <c r="G86" s="14" t="s">
        <v>22</v>
      </c>
      <c r="H86" s="14" t="s">
        <v>54</v>
      </c>
      <c r="I86" s="14" t="s">
        <v>24</v>
      </c>
      <c r="J86" s="14" t="s">
        <v>88</v>
      </c>
      <c r="K86" s="16">
        <v>7.4999999999999997E-3</v>
      </c>
      <c r="L86" s="17">
        <v>45097</v>
      </c>
      <c r="M86" s="18">
        <v>44.779634999999999</v>
      </c>
      <c r="N86" s="18">
        <v>44.868000000000002</v>
      </c>
      <c r="O86" s="18">
        <v>44.972526999999999</v>
      </c>
      <c r="P86" s="18">
        <v>46.139161999999999</v>
      </c>
      <c r="Q86" s="18">
        <v>46.868062999999999</v>
      </c>
      <c r="R86" s="18">
        <v>43.783360999999999</v>
      </c>
      <c r="S86" s="18">
        <v>44.753684999999997</v>
      </c>
      <c r="T86" s="18">
        <v>44.838892999999999</v>
      </c>
      <c r="U86" s="19">
        <v>1.2999999999999999E-3</v>
      </c>
      <c r="V86" s="19">
        <v>-0.5887</v>
      </c>
      <c r="W86" s="19">
        <v>6.0699999999999997E-2</v>
      </c>
      <c r="X86" s="19">
        <v>3.8199999999999998E-2</v>
      </c>
      <c r="Y86" s="19" t="s">
        <v>26</v>
      </c>
      <c r="Z86" s="19" t="s">
        <v>26</v>
      </c>
      <c r="AA86" s="20">
        <v>135483804.12</v>
      </c>
      <c r="AB86" s="21">
        <f>IFERROR(AVERAGE($V86:$Z86),"")</f>
        <v>-0.16326666666666667</v>
      </c>
      <c r="AC86" s="21">
        <f>IFERROR(_xlfn.STDEV.P($V86:$Z86),"")</f>
        <v>0.30096700077509414</v>
      </c>
    </row>
    <row r="87" spans="1:29" ht="14.25" customHeight="1" x14ac:dyDescent="0.3">
      <c r="A87" s="14" t="s">
        <v>152</v>
      </c>
      <c r="B87" s="15" t="s">
        <v>153</v>
      </c>
      <c r="C87" s="14" t="s">
        <v>28</v>
      </c>
      <c r="D87" s="14" t="s">
        <v>41</v>
      </c>
      <c r="E87" s="14" t="s">
        <v>71</v>
      </c>
      <c r="F87" s="14" t="s">
        <v>43</v>
      </c>
      <c r="G87" s="14" t="s">
        <v>22</v>
      </c>
      <c r="H87" s="14" t="s">
        <v>44</v>
      </c>
      <c r="I87" s="14" t="s">
        <v>24</v>
      </c>
      <c r="J87" s="14" t="s">
        <v>154</v>
      </c>
      <c r="K87" s="16">
        <v>5.4999999999999997E-3</v>
      </c>
      <c r="L87" s="17">
        <v>44266</v>
      </c>
      <c r="M87" s="18">
        <v>18.820293270000001</v>
      </c>
      <c r="N87" s="18">
        <v>23.027479679999999</v>
      </c>
      <c r="O87" s="18">
        <v>25.29564968</v>
      </c>
      <c r="P87" s="18">
        <v>21.732248330000001</v>
      </c>
      <c r="Q87" s="18">
        <v>21.087401750000001</v>
      </c>
      <c r="R87" s="18">
        <v>23.06892247</v>
      </c>
      <c r="S87" s="18">
        <v>23.69320299</v>
      </c>
      <c r="T87" s="18">
        <v>24.549132700000001</v>
      </c>
      <c r="U87" s="19">
        <v>0.3044</v>
      </c>
      <c r="V87" s="19">
        <v>0.63519999999999999</v>
      </c>
      <c r="W87" s="19">
        <v>4.5999999999999999E-2</v>
      </c>
      <c r="X87" s="19">
        <v>0.29149999999999998</v>
      </c>
      <c r="Y87" s="19">
        <v>8.6E-3</v>
      </c>
      <c r="Z87" s="19">
        <v>-0.1739</v>
      </c>
      <c r="AA87" s="20">
        <v>181428707.96000001</v>
      </c>
      <c r="AB87" s="21">
        <f>IFERROR(AVERAGE($V87:$Z87),"")</f>
        <v>0.16148000000000001</v>
      </c>
      <c r="AC87" s="21">
        <f>IFERROR(_xlfn.STDEV.P($V87:$Z87),"")</f>
        <v>0.27946502750791552</v>
      </c>
    </row>
    <row r="88" spans="1:29" ht="14.25" customHeight="1" x14ac:dyDescent="0.3">
      <c r="A88" s="14" t="s">
        <v>155</v>
      </c>
      <c r="B88" s="15" t="s">
        <v>153</v>
      </c>
      <c r="C88" s="14" t="s">
        <v>28</v>
      </c>
      <c r="D88" s="14" t="s">
        <v>41</v>
      </c>
      <c r="E88" s="14" t="s">
        <v>71</v>
      </c>
      <c r="F88" s="14" t="s">
        <v>43</v>
      </c>
      <c r="G88" s="14" t="s">
        <v>29</v>
      </c>
      <c r="H88" s="14" t="s">
        <v>44</v>
      </c>
      <c r="I88" s="14" t="s">
        <v>45</v>
      </c>
      <c r="J88" s="14" t="s">
        <v>46</v>
      </c>
      <c r="K88" s="16">
        <v>1.2500000000000001E-2</v>
      </c>
      <c r="L88" s="17">
        <v>45320</v>
      </c>
      <c r="M88" s="18">
        <v>136.07373999999999</v>
      </c>
      <c r="N88" s="18">
        <v>137.76220000000001</v>
      </c>
      <c r="O88" s="18">
        <v>138.30297999999999</v>
      </c>
      <c r="P88" s="18">
        <v>128.31795</v>
      </c>
      <c r="Q88" s="18">
        <v>141.52873</v>
      </c>
      <c r="R88" s="18">
        <v>148.94517999999999</v>
      </c>
      <c r="S88" s="18">
        <v>147.31538</v>
      </c>
      <c r="T88" s="18">
        <v>146.29714999999999</v>
      </c>
      <c r="U88" s="19">
        <v>7.51E-2</v>
      </c>
      <c r="V88" s="19">
        <v>0.16880000000000001</v>
      </c>
      <c r="W88" s="19" t="s">
        <v>26</v>
      </c>
      <c r="X88" s="19" t="s">
        <v>26</v>
      </c>
      <c r="Y88" s="19" t="s">
        <v>26</v>
      </c>
      <c r="Z88" s="19" t="s">
        <v>26</v>
      </c>
      <c r="AA88" s="20">
        <v>0</v>
      </c>
      <c r="AB88" s="21">
        <f>IFERROR(AVERAGE($V88:$Z88),"")</f>
        <v>0.16880000000000001</v>
      </c>
      <c r="AC88" s="21">
        <f>IFERROR(_xlfn.STDEV.P($V88:$Z88),"")</f>
        <v>0</v>
      </c>
    </row>
    <row r="89" spans="1:29" ht="14.25" customHeight="1" x14ac:dyDescent="0.3">
      <c r="A89" s="14" t="s">
        <v>156</v>
      </c>
      <c r="B89" s="15" t="s">
        <v>153</v>
      </c>
      <c r="C89" s="14" t="s">
        <v>28</v>
      </c>
      <c r="D89" s="14" t="s">
        <v>41</v>
      </c>
      <c r="E89" s="14" t="s">
        <v>71</v>
      </c>
      <c r="F89" s="14" t="s">
        <v>43</v>
      </c>
      <c r="G89" s="14" t="s">
        <v>29</v>
      </c>
      <c r="H89" s="14" t="s">
        <v>44</v>
      </c>
      <c r="I89" s="14" t="s">
        <v>45</v>
      </c>
      <c r="J89" s="14" t="s">
        <v>46</v>
      </c>
      <c r="K89" s="16">
        <v>1.4999999999999999E-2</v>
      </c>
      <c r="L89" s="17">
        <v>45320</v>
      </c>
      <c r="M89" s="18">
        <v>135.3222639</v>
      </c>
      <c r="N89" s="18">
        <v>136.96921068</v>
      </c>
      <c r="O89" s="18">
        <v>137.47543099000001</v>
      </c>
      <c r="P89" s="18">
        <v>127.51432737</v>
      </c>
      <c r="Q89" s="18">
        <v>140.61590409999999</v>
      </c>
      <c r="R89" s="18">
        <v>147.95442464999999</v>
      </c>
      <c r="S89" s="18">
        <v>146.29585947000001</v>
      </c>
      <c r="T89" s="18">
        <v>145.24668055000001</v>
      </c>
      <c r="U89" s="19">
        <v>7.3300000000000004E-2</v>
      </c>
      <c r="V89" s="19">
        <v>0.16550000000000001</v>
      </c>
      <c r="W89" s="19">
        <v>0.15859999999999999</v>
      </c>
      <c r="X89" s="19" t="s">
        <v>26</v>
      </c>
      <c r="Y89" s="19" t="s">
        <v>26</v>
      </c>
      <c r="Z89" s="19" t="s">
        <v>26</v>
      </c>
      <c r="AA89" s="20">
        <v>0</v>
      </c>
      <c r="AB89" s="21">
        <f>IFERROR(AVERAGE($V89:$Z89),"")</f>
        <v>0.16205</v>
      </c>
      <c r="AC89" s="21">
        <f>IFERROR(_xlfn.STDEV.P($V89:$Z89),"")</f>
        <v>3.4500000000000086E-3</v>
      </c>
    </row>
    <row r="90" spans="1:29" ht="14.25" customHeight="1" x14ac:dyDescent="0.3">
      <c r="A90" s="14" t="s">
        <v>157</v>
      </c>
      <c r="B90" s="15" t="s">
        <v>153</v>
      </c>
      <c r="C90" s="14" t="s">
        <v>18</v>
      </c>
      <c r="D90" s="14" t="s">
        <v>48</v>
      </c>
      <c r="E90" s="14" t="s">
        <v>133</v>
      </c>
      <c r="F90" s="14" t="s">
        <v>21</v>
      </c>
      <c r="G90" s="14" t="s">
        <v>22</v>
      </c>
      <c r="H90" s="14" t="s">
        <v>44</v>
      </c>
      <c r="I90" s="14" t="s">
        <v>24</v>
      </c>
      <c r="J90" s="14" t="s">
        <v>154</v>
      </c>
      <c r="K90" s="16">
        <v>5.0000000000000001E-4</v>
      </c>
      <c r="L90" s="17">
        <v>45748</v>
      </c>
      <c r="M90" s="18">
        <v>110.61604925</v>
      </c>
      <c r="N90" s="18">
        <v>111.66240354999999</v>
      </c>
      <c r="O90" s="18">
        <v>111.72905874</v>
      </c>
      <c r="P90" s="18">
        <v>107.91394042</v>
      </c>
      <c r="Q90" s="18">
        <v>109.30136435999999</v>
      </c>
      <c r="R90" s="18">
        <v>110.22859534</v>
      </c>
      <c r="S90" s="18">
        <v>112.56613385</v>
      </c>
      <c r="T90" s="18">
        <v>113.10807699</v>
      </c>
      <c r="U90" s="19">
        <v>2.2499999999999999E-2</v>
      </c>
      <c r="V90" s="19">
        <v>0.1062</v>
      </c>
      <c r="W90" s="19" t="s">
        <v>26</v>
      </c>
      <c r="X90" s="19" t="s">
        <v>26</v>
      </c>
      <c r="Y90" s="19" t="s">
        <v>26</v>
      </c>
      <c r="Z90" s="19" t="s">
        <v>26</v>
      </c>
      <c r="AA90" s="20">
        <v>152695903.93000001</v>
      </c>
      <c r="AB90" s="21">
        <f>IFERROR(AVERAGE($V90:$Z90),"")</f>
        <v>0.1062</v>
      </c>
      <c r="AC90" s="21">
        <f>IFERROR(_xlfn.STDEV.P($V90:$Z90),"")</f>
        <v>0</v>
      </c>
    </row>
    <row r="91" spans="1:29" ht="14.25" customHeight="1" x14ac:dyDescent="0.3">
      <c r="A91" s="14" t="s">
        <v>158</v>
      </c>
      <c r="B91" s="15" t="s">
        <v>153</v>
      </c>
      <c r="C91" s="14" t="s">
        <v>28</v>
      </c>
      <c r="D91" s="14" t="s">
        <v>78</v>
      </c>
      <c r="E91" s="14" t="s">
        <v>79</v>
      </c>
      <c r="F91" s="14" t="s">
        <v>65</v>
      </c>
      <c r="G91" s="14" t="s">
        <v>66</v>
      </c>
      <c r="H91" s="14" t="s">
        <v>44</v>
      </c>
      <c r="I91" s="14" t="s">
        <v>45</v>
      </c>
      <c r="J91" s="14" t="s">
        <v>46</v>
      </c>
      <c r="K91" s="16">
        <v>8.9999999999999993E-3</v>
      </c>
      <c r="L91" s="17">
        <v>44719</v>
      </c>
      <c r="M91" s="18">
        <v>130.98727305</v>
      </c>
      <c r="N91" s="18">
        <v>131.46371475999999</v>
      </c>
      <c r="O91" s="18">
        <v>131.93184328000001</v>
      </c>
      <c r="P91" s="18">
        <v>132.21912154</v>
      </c>
      <c r="Q91" s="18">
        <v>131.27166500000001</v>
      </c>
      <c r="R91" s="18">
        <v>131.16079065</v>
      </c>
      <c r="S91" s="18">
        <v>131.02319815000001</v>
      </c>
      <c r="T91" s="18">
        <v>130.88614744</v>
      </c>
      <c r="U91" s="19">
        <v>-8.0000000000000004E-4</v>
      </c>
      <c r="V91" s="19">
        <v>5.9200000000000003E-2</v>
      </c>
      <c r="W91" s="19">
        <v>0.1052</v>
      </c>
      <c r="X91" s="19">
        <v>9.2399999999999996E-2</v>
      </c>
      <c r="Y91" s="19">
        <v>2.07E-2</v>
      </c>
      <c r="Z91" s="19" t="s">
        <v>26</v>
      </c>
      <c r="AA91" s="20">
        <v>0</v>
      </c>
      <c r="AB91" s="21">
        <f>IFERROR(AVERAGE($V91:$Z91),"")</f>
        <v>6.9374999999999992E-2</v>
      </c>
      <c r="AC91" s="21">
        <f>IFERROR(_xlfn.STDEV.P($V91:$Z91),"")</f>
        <v>3.27351779436129E-2</v>
      </c>
    </row>
    <row r="92" spans="1:29" ht="14.25" customHeight="1" x14ac:dyDescent="0.3">
      <c r="A92" s="14" t="s">
        <v>159</v>
      </c>
      <c r="B92" s="15" t="s">
        <v>153</v>
      </c>
      <c r="C92" s="14" t="s">
        <v>28</v>
      </c>
      <c r="D92" s="14" t="s">
        <v>78</v>
      </c>
      <c r="E92" s="14" t="s">
        <v>79</v>
      </c>
      <c r="F92" s="14" t="s">
        <v>65</v>
      </c>
      <c r="G92" s="14" t="s">
        <v>66</v>
      </c>
      <c r="H92" s="14" t="s">
        <v>44</v>
      </c>
      <c r="I92" s="14" t="s">
        <v>45</v>
      </c>
      <c r="J92" s="14" t="s">
        <v>46</v>
      </c>
      <c r="K92" s="16">
        <v>0.01</v>
      </c>
      <c r="L92" s="17">
        <v>44719</v>
      </c>
      <c r="M92" s="18">
        <v>130.40215615</v>
      </c>
      <c r="N92" s="18">
        <v>130.86317281999999</v>
      </c>
      <c r="O92" s="18">
        <v>131.31715421000001</v>
      </c>
      <c r="P92" s="18">
        <v>131.58975670999999</v>
      </c>
      <c r="Q92" s="18">
        <v>130.6295365</v>
      </c>
      <c r="R92" s="18">
        <v>130.49759588000001</v>
      </c>
      <c r="S92" s="18">
        <v>130.34307129000001</v>
      </c>
      <c r="T92" s="18">
        <v>130.19349983999999</v>
      </c>
      <c r="U92" s="19">
        <v>-1.6000000000000001E-3</v>
      </c>
      <c r="V92" s="19">
        <v>5.79E-2</v>
      </c>
      <c r="W92" s="19">
        <v>0.10390000000000001</v>
      </c>
      <c r="X92" s="19">
        <v>9.11E-2</v>
      </c>
      <c r="Y92" s="19">
        <v>0.02</v>
      </c>
      <c r="Z92" s="19" t="s">
        <v>26</v>
      </c>
      <c r="AA92" s="20">
        <v>0</v>
      </c>
      <c r="AB92" s="21">
        <f>IFERROR(AVERAGE($V92:$Z92),"")</f>
        <v>6.8225000000000008E-2</v>
      </c>
      <c r="AC92" s="21">
        <f>IFERROR(_xlfn.STDEV.P($V92:$Z92),"")</f>
        <v>3.2512411091766162E-2</v>
      </c>
    </row>
    <row r="93" spans="1:29" ht="14.25" customHeight="1" x14ac:dyDescent="0.3">
      <c r="A93" s="14" t="s">
        <v>160</v>
      </c>
      <c r="B93" s="15" t="s">
        <v>153</v>
      </c>
      <c r="C93" s="14" t="s">
        <v>28</v>
      </c>
      <c r="D93" s="14" t="s">
        <v>78</v>
      </c>
      <c r="E93" s="14" t="s">
        <v>79</v>
      </c>
      <c r="F93" s="14" t="s">
        <v>65</v>
      </c>
      <c r="G93" s="14" t="s">
        <v>66</v>
      </c>
      <c r="H93" s="14" t="s">
        <v>44</v>
      </c>
      <c r="I93" s="14" t="s">
        <v>45</v>
      </c>
      <c r="J93" s="14" t="s">
        <v>46</v>
      </c>
      <c r="K93" s="16">
        <v>1.2500000000000001E-2</v>
      </c>
      <c r="L93" s="17">
        <v>44719</v>
      </c>
      <c r="M93" s="18">
        <v>128.60282122000001</v>
      </c>
      <c r="N93" s="18">
        <v>129.02471528999999</v>
      </c>
      <c r="O93" s="18">
        <v>129.44266619999999</v>
      </c>
      <c r="P93" s="18">
        <v>129.67855616</v>
      </c>
      <c r="Q93" s="18">
        <v>128.69954375</v>
      </c>
      <c r="R93" s="18">
        <v>128.53585265999999</v>
      </c>
      <c r="S93" s="18">
        <v>128.35535321</v>
      </c>
      <c r="T93" s="18">
        <v>128.17550181999999</v>
      </c>
      <c r="U93" s="19">
        <v>-3.3E-3</v>
      </c>
      <c r="V93" s="19">
        <v>5.4800000000000001E-2</v>
      </c>
      <c r="W93" s="19">
        <v>0.1007</v>
      </c>
      <c r="X93" s="19">
        <v>8.7900000000000006E-2</v>
      </c>
      <c r="Y93" s="19">
        <v>1.83E-2</v>
      </c>
      <c r="Z93" s="19" t="s">
        <v>26</v>
      </c>
      <c r="AA93" s="20">
        <v>0</v>
      </c>
      <c r="AB93" s="21">
        <f>IFERROR(AVERAGE($V93:$Z93),"")</f>
        <v>6.5424999999999997E-2</v>
      </c>
      <c r="AC93" s="21">
        <f>IFERROR(_xlfn.STDEV.P($V93:$Z93),"")</f>
        <v>3.1949598980268931E-2</v>
      </c>
    </row>
    <row r="94" spans="1:29" ht="14.25" customHeight="1" x14ac:dyDescent="0.3">
      <c r="A94" s="14" t="s">
        <v>161</v>
      </c>
      <c r="B94" s="15" t="s">
        <v>153</v>
      </c>
      <c r="C94" s="14" t="s">
        <v>28</v>
      </c>
      <c r="D94" s="14" t="s">
        <v>78</v>
      </c>
      <c r="E94" s="14" t="s">
        <v>162</v>
      </c>
      <c r="F94" s="14" t="s">
        <v>163</v>
      </c>
      <c r="G94" s="14" t="s">
        <v>110</v>
      </c>
      <c r="H94" s="14" t="s">
        <v>44</v>
      </c>
      <c r="I94" s="14" t="s">
        <v>45</v>
      </c>
      <c r="J94" s="14" t="s">
        <v>46</v>
      </c>
      <c r="K94" s="16">
        <v>5.2519999999999997E-3</v>
      </c>
      <c r="L94" s="17">
        <v>44200</v>
      </c>
      <c r="M94" s="18">
        <v>111.85169716</v>
      </c>
      <c r="N94" s="18">
        <v>110.96316065000001</v>
      </c>
      <c r="O94" s="18">
        <v>110.90970731</v>
      </c>
      <c r="P94" s="18">
        <v>109.76588025</v>
      </c>
      <c r="Q94" s="18">
        <v>108.52529397000001</v>
      </c>
      <c r="R94" s="18">
        <v>108.06447298000001</v>
      </c>
      <c r="S94" s="18">
        <v>108.00683986999999</v>
      </c>
      <c r="T94" s="18">
        <v>107.13386387</v>
      </c>
      <c r="U94" s="19">
        <v>-4.2200000000000001E-2</v>
      </c>
      <c r="V94" s="19">
        <v>-1.7600000000000001E-2</v>
      </c>
      <c r="W94" s="19">
        <v>4.4299999999999999E-2</v>
      </c>
      <c r="X94" s="19">
        <v>2.3E-2</v>
      </c>
      <c r="Y94" s="19">
        <v>2.1399999999999999E-2</v>
      </c>
      <c r="Z94" s="19">
        <v>4.2700000000000002E-2</v>
      </c>
      <c r="AA94" s="20">
        <v>0</v>
      </c>
      <c r="AB94" s="21">
        <f>IFERROR(AVERAGE($V94:$Z94),"")</f>
        <v>2.2759999999999999E-2</v>
      </c>
      <c r="AC94" s="21">
        <f>IFERROR(_xlfn.STDEV.P($V94:$Z94),"")</f>
        <v>2.2326719418669642E-2</v>
      </c>
    </row>
    <row r="95" spans="1:29" ht="14.25" customHeight="1" x14ac:dyDescent="0.3">
      <c r="A95" s="14" t="s">
        <v>164</v>
      </c>
      <c r="B95" s="15" t="s">
        <v>153</v>
      </c>
      <c r="C95" s="14" t="s">
        <v>28</v>
      </c>
      <c r="D95" s="14" t="s">
        <v>78</v>
      </c>
      <c r="E95" s="14" t="s">
        <v>162</v>
      </c>
      <c r="F95" s="14" t="s">
        <v>163</v>
      </c>
      <c r="G95" s="14" t="s">
        <v>110</v>
      </c>
      <c r="H95" s="14" t="s">
        <v>44</v>
      </c>
      <c r="I95" s="14" t="s">
        <v>45</v>
      </c>
      <c r="J95" s="14" t="s">
        <v>46</v>
      </c>
      <c r="K95" s="16">
        <v>5.2519999999999997E-3</v>
      </c>
      <c r="L95" s="17">
        <v>44200</v>
      </c>
      <c r="M95" s="18">
        <v>111.86963032</v>
      </c>
      <c r="N95" s="18">
        <v>110.98096575</v>
      </c>
      <c r="O95" s="18">
        <v>110.92750358000001</v>
      </c>
      <c r="P95" s="18">
        <v>109.78351197000001</v>
      </c>
      <c r="Q95" s="18">
        <v>108.54650933000001</v>
      </c>
      <c r="R95" s="18">
        <v>108.08747957999999</v>
      </c>
      <c r="S95" s="18">
        <v>108.02983381</v>
      </c>
      <c r="T95" s="18">
        <v>107.16044475</v>
      </c>
      <c r="U95" s="19">
        <v>-4.2099999999999999E-2</v>
      </c>
      <c r="V95" s="19">
        <v>-1.7600000000000001E-2</v>
      </c>
      <c r="W95" s="19">
        <v>4.4299999999999999E-2</v>
      </c>
      <c r="X95" s="19">
        <v>2.3E-2</v>
      </c>
      <c r="Y95" s="19">
        <v>2.1399999999999999E-2</v>
      </c>
      <c r="Z95" s="19">
        <v>4.2700000000000002E-2</v>
      </c>
      <c r="AA95" s="20">
        <v>0</v>
      </c>
      <c r="AB95" s="21">
        <f>IFERROR(AVERAGE($V95:$Z95),"")</f>
        <v>2.2759999999999999E-2</v>
      </c>
      <c r="AC95" s="21">
        <f>IFERROR(_xlfn.STDEV.P($V95:$Z95),"")</f>
        <v>2.2326719418669642E-2</v>
      </c>
    </row>
    <row r="96" spans="1:29" ht="14.25" customHeight="1" x14ac:dyDescent="0.3">
      <c r="A96" s="14" t="s">
        <v>165</v>
      </c>
      <c r="B96" s="15" t="s">
        <v>166</v>
      </c>
      <c r="C96" s="14" t="s">
        <v>28</v>
      </c>
      <c r="D96" s="14" t="s">
        <v>41</v>
      </c>
      <c r="E96" s="14" t="s">
        <v>71</v>
      </c>
      <c r="F96" s="14" t="s">
        <v>43</v>
      </c>
      <c r="G96" s="14" t="s">
        <v>29</v>
      </c>
      <c r="H96" s="14" t="s">
        <v>44</v>
      </c>
      <c r="I96" s="14" t="s">
        <v>24</v>
      </c>
      <c r="J96" s="14" t="s">
        <v>102</v>
      </c>
      <c r="K96" s="16">
        <v>0.01</v>
      </c>
      <c r="L96" s="17">
        <v>43249</v>
      </c>
      <c r="M96" s="18">
        <v>177.13059315999999</v>
      </c>
      <c r="N96" s="18">
        <v>187.73570903999999</v>
      </c>
      <c r="O96" s="18">
        <v>194.28664931</v>
      </c>
      <c r="P96" s="18">
        <v>176.82700227000001</v>
      </c>
      <c r="Q96" s="18">
        <v>194.74310281000001</v>
      </c>
      <c r="R96" s="18">
        <v>213.91611957000001</v>
      </c>
      <c r="S96" s="18">
        <v>214.55996841999999</v>
      </c>
      <c r="T96" s="18">
        <v>196.41374485</v>
      </c>
      <c r="U96" s="19">
        <v>0.1089</v>
      </c>
      <c r="V96" s="19">
        <v>0.15609999999999999</v>
      </c>
      <c r="W96" s="19">
        <v>0.12759999999999999</v>
      </c>
      <c r="X96" s="19">
        <v>0.1724</v>
      </c>
      <c r="Y96" s="19">
        <v>-0.20599999999999999</v>
      </c>
      <c r="Z96" s="19">
        <v>0.1192</v>
      </c>
      <c r="AA96" s="20">
        <v>67755874.510000005</v>
      </c>
      <c r="AB96" s="21">
        <f>IFERROR(AVERAGE($V96:$Z96),"")</f>
        <v>7.3859999999999995E-2</v>
      </c>
      <c r="AC96" s="21">
        <f>IFERROR(_xlfn.STDEV.P($V96:$Z96),"")</f>
        <v>0.14123659015991569</v>
      </c>
    </row>
    <row r="97" spans="1:29" ht="14.25" customHeight="1" x14ac:dyDescent="0.3">
      <c r="A97" s="14" t="s">
        <v>167</v>
      </c>
      <c r="B97" s="15" t="s">
        <v>166</v>
      </c>
      <c r="C97" s="14" t="s">
        <v>28</v>
      </c>
      <c r="D97" s="14" t="s">
        <v>41</v>
      </c>
      <c r="E97" s="14" t="s">
        <v>71</v>
      </c>
      <c r="F97" s="14" t="s">
        <v>43</v>
      </c>
      <c r="G97" s="14" t="s">
        <v>29</v>
      </c>
      <c r="H97" s="14" t="s">
        <v>44</v>
      </c>
      <c r="I97" s="14" t="s">
        <v>24</v>
      </c>
      <c r="J97" s="14" t="s">
        <v>102</v>
      </c>
      <c r="K97" s="16">
        <v>1.2E-2</v>
      </c>
      <c r="L97" s="17">
        <v>43249</v>
      </c>
      <c r="M97" s="18">
        <v>173.40655375</v>
      </c>
      <c r="N97" s="18">
        <v>183.75135742000001</v>
      </c>
      <c r="O97" s="18">
        <v>190.12836222999999</v>
      </c>
      <c r="P97" s="18">
        <v>173.00723755999999</v>
      </c>
      <c r="Q97" s="18">
        <v>190.49884997000001</v>
      </c>
      <c r="R97" s="18">
        <v>209.21285714999999</v>
      </c>
      <c r="S97" s="18">
        <v>209.79990814999999</v>
      </c>
      <c r="T97" s="18">
        <v>192.01723501000001</v>
      </c>
      <c r="U97" s="19">
        <v>0.10730000000000001</v>
      </c>
      <c r="V97" s="19">
        <v>0.15340000000000001</v>
      </c>
      <c r="W97" s="19">
        <v>0.1249</v>
      </c>
      <c r="X97" s="19">
        <v>0.16969999999999999</v>
      </c>
      <c r="Y97" s="19">
        <v>-0.20799999999999999</v>
      </c>
      <c r="Z97" s="19">
        <v>0.11650000000000001</v>
      </c>
      <c r="AA97" s="20">
        <v>67755874.510000005</v>
      </c>
      <c r="AB97" s="21">
        <f>IFERROR(AVERAGE($V97:$Z97),"")</f>
        <v>7.1300000000000002E-2</v>
      </c>
      <c r="AC97" s="21">
        <f>IFERROR(_xlfn.STDEV.P($V97:$Z97),"")</f>
        <v>0.14095918558221029</v>
      </c>
    </row>
    <row r="98" spans="1:29" ht="14.25" customHeight="1" x14ac:dyDescent="0.3">
      <c r="A98" s="14" t="s">
        <v>168</v>
      </c>
      <c r="B98" s="15" t="s">
        <v>166</v>
      </c>
      <c r="C98" s="14" t="s">
        <v>28</v>
      </c>
      <c r="D98" s="14" t="s">
        <v>41</v>
      </c>
      <c r="E98" s="14" t="s">
        <v>71</v>
      </c>
      <c r="F98" s="14" t="s">
        <v>43</v>
      </c>
      <c r="G98" s="14" t="s">
        <v>29</v>
      </c>
      <c r="H98" s="14" t="s">
        <v>44</v>
      </c>
      <c r="I98" s="14" t="s">
        <v>24</v>
      </c>
      <c r="J98" s="14" t="s">
        <v>102</v>
      </c>
      <c r="K98" s="16">
        <v>1.4999999999999999E-2</v>
      </c>
      <c r="L98" s="17">
        <v>43249</v>
      </c>
      <c r="M98" s="18">
        <v>167.64052674999999</v>
      </c>
      <c r="N98" s="18">
        <v>177.60525171</v>
      </c>
      <c r="O98" s="18">
        <v>183.73522864</v>
      </c>
      <c r="P98" s="18">
        <v>167.15583318</v>
      </c>
      <c r="Q98" s="18">
        <v>184.01965333999999</v>
      </c>
      <c r="R98" s="18">
        <v>202.05742108000001</v>
      </c>
      <c r="S98" s="18">
        <v>202.58321857999999</v>
      </c>
      <c r="T98" s="18">
        <v>185.37455553000001</v>
      </c>
      <c r="U98" s="19">
        <v>0.10580000000000001</v>
      </c>
      <c r="V98" s="19">
        <v>0.15060000000000001</v>
      </c>
      <c r="W98" s="19">
        <v>0.1198</v>
      </c>
      <c r="X98" s="19">
        <v>0.16420000000000001</v>
      </c>
      <c r="Y98" s="19">
        <v>-0.2117</v>
      </c>
      <c r="Z98" s="19">
        <v>0.1113</v>
      </c>
      <c r="AA98" s="20">
        <v>67755874.510000005</v>
      </c>
      <c r="AB98" s="21">
        <f>IFERROR(AVERAGE($V98:$Z98),"")</f>
        <v>6.6840000000000011E-2</v>
      </c>
      <c r="AC98" s="21">
        <f>IFERROR(_xlfn.STDEV.P($V98:$Z98),"")</f>
        <v>0.14061343605786752</v>
      </c>
    </row>
    <row r="99" spans="1:29" ht="14.25" customHeight="1" x14ac:dyDescent="0.3">
      <c r="A99" s="14" t="s">
        <v>169</v>
      </c>
      <c r="B99" s="15" t="s">
        <v>166</v>
      </c>
      <c r="C99" s="14" t="s">
        <v>28</v>
      </c>
      <c r="D99" s="14" t="s">
        <v>41</v>
      </c>
      <c r="E99" s="14" t="s">
        <v>71</v>
      </c>
      <c r="F99" s="14" t="s">
        <v>43</v>
      </c>
      <c r="G99" s="14" t="s">
        <v>29</v>
      </c>
      <c r="H99" s="14" t="s">
        <v>44</v>
      </c>
      <c r="I99" s="14" t="s">
        <v>45</v>
      </c>
      <c r="J99" s="14" t="s">
        <v>46</v>
      </c>
      <c r="K99" s="16">
        <v>0.01</v>
      </c>
      <c r="L99" s="17">
        <v>43993</v>
      </c>
      <c r="M99" s="18">
        <v>173.84680541</v>
      </c>
      <c r="N99" s="18">
        <v>184.14235722000001</v>
      </c>
      <c r="O99" s="18">
        <v>190.45765236</v>
      </c>
      <c r="P99" s="18">
        <v>173.23207593000001</v>
      </c>
      <c r="Q99" s="18">
        <v>190.69542029999999</v>
      </c>
      <c r="R99" s="18">
        <v>209.26946808</v>
      </c>
      <c r="S99" s="18">
        <v>209.78966517000001</v>
      </c>
      <c r="T99" s="18">
        <v>191.94665228</v>
      </c>
      <c r="U99" s="19">
        <v>0.1041</v>
      </c>
      <c r="V99" s="19">
        <v>0.1469</v>
      </c>
      <c r="W99" s="19">
        <v>0.11700000000000001</v>
      </c>
      <c r="X99" s="19">
        <v>0.16170000000000001</v>
      </c>
      <c r="Y99" s="19">
        <v>-0.21279999999999999</v>
      </c>
      <c r="Z99" s="19">
        <v>0.11210000000000001</v>
      </c>
      <c r="AA99" s="20">
        <v>14720469.560000001</v>
      </c>
      <c r="AB99" s="21">
        <f>IFERROR(AVERAGE($V99:$Z99),"")</f>
        <v>6.498000000000001E-2</v>
      </c>
      <c r="AC99" s="21">
        <f>IFERROR(_xlfn.STDEV.P($V99:$Z99),"")</f>
        <v>0.14010977696078172</v>
      </c>
    </row>
    <row r="100" spans="1:29" ht="14.25" customHeight="1" x14ac:dyDescent="0.3">
      <c r="A100" s="14" t="s">
        <v>170</v>
      </c>
      <c r="B100" s="15" t="s">
        <v>166</v>
      </c>
      <c r="C100" s="14" t="s">
        <v>28</v>
      </c>
      <c r="D100" s="14" t="s">
        <v>48</v>
      </c>
      <c r="E100" s="14" t="s">
        <v>53</v>
      </c>
      <c r="F100" s="14" t="s">
        <v>21</v>
      </c>
      <c r="G100" s="14" t="s">
        <v>22</v>
      </c>
      <c r="H100" s="14" t="s">
        <v>23</v>
      </c>
      <c r="I100" s="14" t="s">
        <v>24</v>
      </c>
      <c r="J100" s="14" t="s">
        <v>35</v>
      </c>
      <c r="K100" s="16">
        <v>7.0000000000000001E-3</v>
      </c>
      <c r="L100" s="17">
        <v>44782</v>
      </c>
      <c r="M100" s="18">
        <v>114.78891683000001</v>
      </c>
      <c r="N100" s="18">
        <v>115.09166080999999</v>
      </c>
      <c r="O100" s="18">
        <v>115.38158383</v>
      </c>
      <c r="P100" s="18">
        <v>115.70656839999999</v>
      </c>
      <c r="Q100" s="18">
        <v>116.02109822</v>
      </c>
      <c r="R100" s="18">
        <v>116.33975258</v>
      </c>
      <c r="S100" s="18">
        <v>116.64787943</v>
      </c>
      <c r="T100" s="18">
        <v>116.99374077</v>
      </c>
      <c r="U100" s="19">
        <v>1.9199999999999998E-2</v>
      </c>
      <c r="V100" s="19">
        <v>3.7699999999999997E-2</v>
      </c>
      <c r="W100" s="19">
        <v>4.5999999999999999E-2</v>
      </c>
      <c r="X100" s="19">
        <v>4.48E-2</v>
      </c>
      <c r="Y100" s="19">
        <v>9.1999999999999998E-3</v>
      </c>
      <c r="Z100" s="19" t="s">
        <v>26</v>
      </c>
      <c r="AA100" s="20">
        <v>13301173.279999999</v>
      </c>
      <c r="AB100" s="21">
        <f>IFERROR(AVERAGE($V100:$Z100),"")</f>
        <v>3.4424999999999997E-2</v>
      </c>
      <c r="AC100" s="21">
        <f>IFERROR(_xlfn.STDEV.P($V100:$Z100),"")</f>
        <v>1.4905095605194889E-2</v>
      </c>
    </row>
    <row r="101" spans="1:29" ht="14.25" customHeight="1" x14ac:dyDescent="0.3">
      <c r="A101" s="14" t="s">
        <v>171</v>
      </c>
      <c r="B101" s="15" t="s">
        <v>166</v>
      </c>
      <c r="C101" s="14" t="s">
        <v>28</v>
      </c>
      <c r="D101" s="14" t="s">
        <v>48</v>
      </c>
      <c r="E101" s="14" t="s">
        <v>49</v>
      </c>
      <c r="F101" s="14" t="s">
        <v>21</v>
      </c>
      <c r="G101" s="14" t="s">
        <v>29</v>
      </c>
      <c r="H101" s="14" t="s">
        <v>44</v>
      </c>
      <c r="I101" s="14" t="s">
        <v>24</v>
      </c>
      <c r="J101" s="14" t="s">
        <v>88</v>
      </c>
      <c r="K101" s="16">
        <v>8.9999999999999993E-3</v>
      </c>
      <c r="L101" s="17">
        <v>43249</v>
      </c>
      <c r="M101" s="18">
        <v>114.65700525</v>
      </c>
      <c r="N101" s="18">
        <v>115.88791087</v>
      </c>
      <c r="O101" s="18">
        <v>117.39759835</v>
      </c>
      <c r="P101" s="18">
        <v>115.2856178</v>
      </c>
      <c r="Q101" s="18">
        <v>117.65659414</v>
      </c>
      <c r="R101" s="18">
        <v>118.13693445</v>
      </c>
      <c r="S101" s="18">
        <v>119.20594765</v>
      </c>
      <c r="T101" s="18">
        <v>119.11526883000001</v>
      </c>
      <c r="U101" s="19">
        <v>3.8899999999999997E-2</v>
      </c>
      <c r="V101" s="19">
        <v>8.8800000000000004E-2</v>
      </c>
      <c r="W101" s="19">
        <v>2.3199999999999998E-2</v>
      </c>
      <c r="X101" s="19">
        <v>4.4699999999999997E-2</v>
      </c>
      <c r="Y101" s="19">
        <v>-0.1174</v>
      </c>
      <c r="Z101" s="19">
        <v>-1.9400000000000001E-2</v>
      </c>
      <c r="AA101" s="20">
        <v>50591232.659999996</v>
      </c>
      <c r="AB101" s="21">
        <f>IFERROR(AVERAGE($V101:$Z101),"")</f>
        <v>3.98E-3</v>
      </c>
      <c r="AC101" s="21">
        <f>IFERROR(_xlfn.STDEV.P($V101:$Z101),"")</f>
        <v>7.0002411387037236E-2</v>
      </c>
    </row>
    <row r="102" spans="1:29" ht="14.25" customHeight="1" x14ac:dyDescent="0.3">
      <c r="A102" s="14" t="s">
        <v>172</v>
      </c>
      <c r="B102" s="15" t="s">
        <v>166</v>
      </c>
      <c r="C102" s="14" t="s">
        <v>28</v>
      </c>
      <c r="D102" s="14" t="s">
        <v>48</v>
      </c>
      <c r="E102" s="14" t="s">
        <v>49</v>
      </c>
      <c r="F102" s="14" t="s">
        <v>21</v>
      </c>
      <c r="G102" s="14" t="s">
        <v>29</v>
      </c>
      <c r="H102" s="14" t="s">
        <v>44</v>
      </c>
      <c r="I102" s="14" t="s">
        <v>24</v>
      </c>
      <c r="J102" s="14" t="s">
        <v>88</v>
      </c>
      <c r="K102" s="16">
        <v>9.4999999999999998E-3</v>
      </c>
      <c r="L102" s="17">
        <v>43249</v>
      </c>
      <c r="M102" s="18">
        <v>113.52435577</v>
      </c>
      <c r="N102" s="18">
        <v>114.73727216</v>
      </c>
      <c r="O102" s="18">
        <v>116.22663632</v>
      </c>
      <c r="P102" s="18">
        <v>114.12992259000001</v>
      </c>
      <c r="Q102" s="18">
        <v>116.47140396</v>
      </c>
      <c r="R102" s="18">
        <v>116.94115574</v>
      </c>
      <c r="S102" s="18">
        <v>117.99335336</v>
      </c>
      <c r="T102" s="18">
        <v>117.89760677</v>
      </c>
      <c r="U102" s="19">
        <v>3.85E-2</v>
      </c>
      <c r="V102" s="19">
        <v>8.8200000000000001E-2</v>
      </c>
      <c r="W102" s="19">
        <v>2.1999999999999999E-2</v>
      </c>
      <c r="X102" s="19">
        <v>4.3499999999999997E-2</v>
      </c>
      <c r="Y102" s="19">
        <v>-0.11840000000000001</v>
      </c>
      <c r="Z102" s="19">
        <v>-2.0500000000000001E-2</v>
      </c>
      <c r="AA102" s="20">
        <v>50591232.659999996</v>
      </c>
      <c r="AB102" s="21">
        <f>IFERROR(AVERAGE($V102:$Z102),"")</f>
        <v>2.9599999999999995E-3</v>
      </c>
      <c r="AC102" s="21">
        <f>IFERROR(_xlfn.STDEV.P($V102:$Z102),"")</f>
        <v>7.0072094302939175E-2</v>
      </c>
    </row>
    <row r="103" spans="1:29" ht="14.25" customHeight="1" x14ac:dyDescent="0.3">
      <c r="A103" s="14" t="s">
        <v>173</v>
      </c>
      <c r="B103" s="15" t="s">
        <v>166</v>
      </c>
      <c r="C103" s="14" t="s">
        <v>28</v>
      </c>
      <c r="D103" s="14" t="s">
        <v>48</v>
      </c>
      <c r="E103" s="14" t="s">
        <v>49</v>
      </c>
      <c r="F103" s="14" t="s">
        <v>21</v>
      </c>
      <c r="G103" s="14" t="s">
        <v>29</v>
      </c>
      <c r="H103" s="14" t="s">
        <v>44</v>
      </c>
      <c r="I103" s="14" t="s">
        <v>24</v>
      </c>
      <c r="J103" s="14" t="s">
        <v>88</v>
      </c>
      <c r="K103" s="16">
        <v>0.01</v>
      </c>
      <c r="L103" s="17">
        <v>43249</v>
      </c>
      <c r="M103" s="18">
        <v>112.08990984</v>
      </c>
      <c r="N103" s="18">
        <v>113.28174466</v>
      </c>
      <c r="O103" s="18">
        <v>114.74694922</v>
      </c>
      <c r="P103" s="18">
        <v>112.67120421</v>
      </c>
      <c r="Q103" s="18">
        <v>114.97710526</v>
      </c>
      <c r="R103" s="18">
        <v>115.43515435</v>
      </c>
      <c r="S103" s="18">
        <v>116.46788393</v>
      </c>
      <c r="T103" s="18">
        <v>116.36746273</v>
      </c>
      <c r="U103" s="19">
        <v>3.8199999999999998E-2</v>
      </c>
      <c r="V103" s="19">
        <v>8.7499999999999994E-2</v>
      </c>
      <c r="W103" s="19">
        <v>2.0899999999999998E-2</v>
      </c>
      <c r="X103" s="19">
        <v>4.2299999999999997E-2</v>
      </c>
      <c r="Y103" s="19">
        <v>-0.11940000000000001</v>
      </c>
      <c r="Z103" s="19">
        <v>-2.1700000000000001E-2</v>
      </c>
      <c r="AA103" s="20">
        <v>50591232.659999996</v>
      </c>
      <c r="AB103" s="21">
        <f>IFERROR(AVERAGE($V103:$Z103),"")</f>
        <v>1.9199999999999987E-3</v>
      </c>
      <c r="AC103" s="21">
        <f>IFERROR(_xlfn.STDEV.P($V103:$Z103),"")</f>
        <v>7.0130119064493263E-2</v>
      </c>
    </row>
    <row r="104" spans="1:29" ht="14.25" customHeight="1" x14ac:dyDescent="0.3">
      <c r="A104" s="14" t="s">
        <v>174</v>
      </c>
      <c r="B104" s="15" t="s">
        <v>166</v>
      </c>
      <c r="C104" s="14" t="s">
        <v>28</v>
      </c>
      <c r="D104" s="14" t="s">
        <v>48</v>
      </c>
      <c r="E104" s="14" t="s">
        <v>53</v>
      </c>
      <c r="F104" s="14" t="s">
        <v>21</v>
      </c>
      <c r="G104" s="14" t="s">
        <v>22</v>
      </c>
      <c r="H104" s="14" t="s">
        <v>23</v>
      </c>
      <c r="I104" s="14" t="s">
        <v>24</v>
      </c>
      <c r="J104" s="14" t="s">
        <v>35</v>
      </c>
      <c r="K104" s="16">
        <v>3.5000000000000001E-3</v>
      </c>
      <c r="L104" s="17">
        <v>44782</v>
      </c>
      <c r="M104" s="18">
        <v>101.90384012</v>
      </c>
      <c r="N104" s="18">
        <v>102.17779216</v>
      </c>
      <c r="O104" s="18">
        <v>102.43988514999999</v>
      </c>
      <c r="P104" s="18">
        <v>102.73363741</v>
      </c>
      <c r="Q104" s="18">
        <v>103.01796738</v>
      </c>
      <c r="R104" s="18">
        <v>103.30598752</v>
      </c>
      <c r="S104" s="18">
        <v>103.58485693999999</v>
      </c>
      <c r="T104" s="18">
        <v>103.89726487</v>
      </c>
      <c r="U104" s="19">
        <v>1.9599999999999999E-2</v>
      </c>
      <c r="V104" s="19">
        <v>-4.48E-2</v>
      </c>
      <c r="W104" s="19">
        <v>4.7E-2</v>
      </c>
      <c r="X104" s="19">
        <v>8.8999999999999999E-3</v>
      </c>
      <c r="Y104" s="19">
        <v>9.4000000000000004E-3</v>
      </c>
      <c r="Z104" s="19" t="s">
        <v>26</v>
      </c>
      <c r="AA104" s="20">
        <v>13301173.279999999</v>
      </c>
      <c r="AB104" s="21">
        <f>IFERROR(AVERAGE($V104:$Z104),"")</f>
        <v>5.1250000000000002E-3</v>
      </c>
      <c r="AC104" s="21">
        <f>IFERROR(_xlfn.STDEV.P($V104:$Z104),"")</f>
        <v>3.2705303469009427E-2</v>
      </c>
    </row>
    <row r="105" spans="1:29" ht="14.25" customHeight="1" x14ac:dyDescent="0.3">
      <c r="A105" s="14" t="s">
        <v>175</v>
      </c>
      <c r="B105" s="15" t="s">
        <v>166</v>
      </c>
      <c r="C105" s="14" t="s">
        <v>28</v>
      </c>
      <c r="D105" s="14" t="s">
        <v>48</v>
      </c>
      <c r="E105" s="14" t="s">
        <v>49</v>
      </c>
      <c r="F105" s="14" t="s">
        <v>21</v>
      </c>
      <c r="G105" s="14" t="s">
        <v>29</v>
      </c>
      <c r="H105" s="14" t="s">
        <v>44</v>
      </c>
      <c r="I105" s="14" t="s">
        <v>24</v>
      </c>
      <c r="J105" s="14" t="s">
        <v>88</v>
      </c>
      <c r="K105" s="16">
        <v>1.4E-2</v>
      </c>
      <c r="L105" s="17">
        <v>45798</v>
      </c>
      <c r="M105" s="18">
        <v>111.35660114</v>
      </c>
      <c r="N105" s="18">
        <v>112.02908782</v>
      </c>
      <c r="O105" s="18">
        <v>112.22007642</v>
      </c>
      <c r="P105" s="18">
        <v>106.10857802</v>
      </c>
      <c r="Q105" s="18">
        <v>115.83576748999999</v>
      </c>
      <c r="R105" s="18">
        <v>125.82622571</v>
      </c>
      <c r="S105" s="18">
        <v>126.42428719</v>
      </c>
      <c r="T105" s="18">
        <v>118.67628021</v>
      </c>
      <c r="U105" s="19">
        <v>6.5699999999999995E-2</v>
      </c>
      <c r="V105" s="19">
        <v>0.1135</v>
      </c>
      <c r="W105" s="19" t="s">
        <v>26</v>
      </c>
      <c r="X105" s="19" t="s">
        <v>26</v>
      </c>
      <c r="Y105" s="19" t="s">
        <v>26</v>
      </c>
      <c r="Z105" s="19" t="s">
        <v>26</v>
      </c>
      <c r="AA105" s="20">
        <v>24688934.91</v>
      </c>
      <c r="AB105" s="21">
        <f>IFERROR(AVERAGE($V105:$Z105),"")</f>
        <v>0.1135</v>
      </c>
      <c r="AC105" s="21">
        <f>IFERROR(_xlfn.STDEV.P($V105:$Z105),"")</f>
        <v>0</v>
      </c>
    </row>
    <row r="106" spans="1:29" ht="14.25" customHeight="1" x14ac:dyDescent="0.3">
      <c r="A106" s="14" t="s">
        <v>176</v>
      </c>
      <c r="B106" s="15" t="s">
        <v>177</v>
      </c>
      <c r="C106" s="14" t="s">
        <v>18</v>
      </c>
      <c r="D106" s="14" t="s">
        <v>41</v>
      </c>
      <c r="E106" s="14" t="s">
        <v>71</v>
      </c>
      <c r="F106" s="14" t="s">
        <v>43</v>
      </c>
      <c r="G106" s="14" t="s">
        <v>22</v>
      </c>
      <c r="H106" s="14" t="s">
        <v>44</v>
      </c>
      <c r="I106" s="14" t="s">
        <v>24</v>
      </c>
      <c r="J106" s="14" t="s">
        <v>102</v>
      </c>
      <c r="K106" s="16">
        <v>0.03</v>
      </c>
      <c r="L106" s="17">
        <v>39104</v>
      </c>
      <c r="M106" s="18">
        <v>21.3719921</v>
      </c>
      <c r="N106" s="18">
        <v>25.258199399999999</v>
      </c>
      <c r="O106" s="18">
        <v>26.622034200000002</v>
      </c>
      <c r="P106" s="18">
        <v>24.8826976</v>
      </c>
      <c r="Q106" s="18">
        <v>24.264646299999999</v>
      </c>
      <c r="R106" s="18">
        <v>25.323084699999999</v>
      </c>
      <c r="S106" s="18">
        <v>26.809609699999999</v>
      </c>
      <c r="T106" s="18">
        <v>27.7069306</v>
      </c>
      <c r="U106" s="19">
        <v>0.2964</v>
      </c>
      <c r="V106" s="19">
        <v>0.33539999999999998</v>
      </c>
      <c r="W106" s="19">
        <v>0.1</v>
      </c>
      <c r="X106" s="19">
        <v>0.20200000000000001</v>
      </c>
      <c r="Y106" s="19">
        <v>-7.2599999999999998E-2</v>
      </c>
      <c r="Z106" s="19">
        <v>5.7599999999999998E-2</v>
      </c>
      <c r="AA106" s="20">
        <v>31026196.710000001</v>
      </c>
      <c r="AB106" s="21">
        <f>IFERROR(AVERAGE($V106:$Z106),"")</f>
        <v>0.12447999999999999</v>
      </c>
      <c r="AC106" s="21">
        <f>IFERROR(_xlfn.STDEV.P($V106:$Z106),"")</f>
        <v>0.13741130084530892</v>
      </c>
    </row>
    <row r="107" spans="1:29" ht="14.25" customHeight="1" x14ac:dyDescent="0.3">
      <c r="A107" s="14" t="s">
        <v>178</v>
      </c>
      <c r="B107" s="15" t="s">
        <v>177</v>
      </c>
      <c r="C107" s="14" t="s">
        <v>28</v>
      </c>
      <c r="D107" s="14" t="s">
        <v>48</v>
      </c>
      <c r="E107" s="14" t="s">
        <v>53</v>
      </c>
      <c r="F107" s="14" t="s">
        <v>21</v>
      </c>
      <c r="G107" s="14" t="s">
        <v>22</v>
      </c>
      <c r="H107" s="14" t="s">
        <v>44</v>
      </c>
      <c r="I107" s="14" t="s">
        <v>24</v>
      </c>
      <c r="J107" s="14" t="s">
        <v>46</v>
      </c>
      <c r="K107" s="16">
        <v>1.35E-2</v>
      </c>
      <c r="L107" s="17">
        <v>41691</v>
      </c>
      <c r="M107" s="18">
        <v>32.7348523</v>
      </c>
      <c r="N107" s="18">
        <v>32.646118299999998</v>
      </c>
      <c r="O107" s="18">
        <v>32.589957300000002</v>
      </c>
      <c r="P107" s="18">
        <v>30.203210500000001</v>
      </c>
      <c r="Q107" s="18">
        <v>33.655933300000001</v>
      </c>
      <c r="R107" s="18">
        <v>35.636079799999997</v>
      </c>
      <c r="S107" s="18">
        <v>34.9850712</v>
      </c>
      <c r="T107" s="18">
        <v>34.868404200000001</v>
      </c>
      <c r="U107" s="19">
        <v>6.5199999999999994E-2</v>
      </c>
      <c r="V107" s="19">
        <v>0.15479999999999999</v>
      </c>
      <c r="W107" s="19">
        <v>0.221</v>
      </c>
      <c r="X107" s="19">
        <v>0.2341</v>
      </c>
      <c r="Y107" s="19">
        <v>-0.19089999999999999</v>
      </c>
      <c r="Z107" s="19">
        <v>0.19289999999999999</v>
      </c>
      <c r="AA107" s="20">
        <v>132705836.16</v>
      </c>
      <c r="AB107" s="21">
        <f>IFERROR(AVERAGE($V107:$Z107),"")</f>
        <v>0.12238</v>
      </c>
      <c r="AC107" s="21">
        <f>IFERROR(_xlfn.STDEV.P($V107:$Z107),"")</f>
        <v>0.1589816014512371</v>
      </c>
    </row>
    <row r="108" spans="1:29" ht="14.25" customHeight="1" x14ac:dyDescent="0.3">
      <c r="A108" s="14" t="s">
        <v>179</v>
      </c>
      <c r="B108" s="15" t="s">
        <v>177</v>
      </c>
      <c r="C108" s="14" t="s">
        <v>28</v>
      </c>
      <c r="D108" s="14" t="s">
        <v>41</v>
      </c>
      <c r="E108" s="14" t="s">
        <v>71</v>
      </c>
      <c r="F108" s="14" t="s">
        <v>43</v>
      </c>
      <c r="G108" s="14" t="s">
        <v>29</v>
      </c>
      <c r="H108" s="14" t="s">
        <v>44</v>
      </c>
      <c r="I108" s="14" t="s">
        <v>24</v>
      </c>
      <c r="J108" s="14" t="s">
        <v>46</v>
      </c>
      <c r="K108" s="16">
        <v>1.35E-2</v>
      </c>
      <c r="L108" s="17">
        <v>43305</v>
      </c>
      <c r="M108" s="18">
        <v>18.4913822</v>
      </c>
      <c r="N108" s="18">
        <v>18.886337999999999</v>
      </c>
      <c r="O108" s="18">
        <v>19.0870034</v>
      </c>
      <c r="P108" s="18">
        <v>17.329632</v>
      </c>
      <c r="Q108" s="18">
        <v>19.231878900000002</v>
      </c>
      <c r="R108" s="18">
        <v>20.184135999999999</v>
      </c>
      <c r="S108" s="18">
        <v>19.8884677</v>
      </c>
      <c r="T108" s="18">
        <v>19.6040679</v>
      </c>
      <c r="U108" s="19">
        <v>6.0199999999999997E-2</v>
      </c>
      <c r="V108" s="19">
        <v>0.1958</v>
      </c>
      <c r="W108" s="19">
        <v>0.1399</v>
      </c>
      <c r="X108" s="19">
        <v>0.1976</v>
      </c>
      <c r="Y108" s="19">
        <v>-0.20979999999999999</v>
      </c>
      <c r="Z108" s="19">
        <v>0.13769999999999999</v>
      </c>
      <c r="AA108" s="20">
        <v>53936541.189999998</v>
      </c>
      <c r="AB108" s="21">
        <f>IFERROR(AVERAGE($V108:$Z108),"")</f>
        <v>9.2240000000000003E-2</v>
      </c>
      <c r="AC108" s="21">
        <f>IFERROR(_xlfn.STDEV.P($V108:$Z108),"")</f>
        <v>0.15322640242464741</v>
      </c>
    </row>
    <row r="109" spans="1:29" ht="14.25" customHeight="1" x14ac:dyDescent="0.3">
      <c r="A109" s="14" t="s">
        <v>180</v>
      </c>
      <c r="B109" s="15" t="s">
        <v>177</v>
      </c>
      <c r="C109" s="14" t="s">
        <v>28</v>
      </c>
      <c r="D109" s="14" t="s">
        <v>48</v>
      </c>
      <c r="E109" s="14" t="s">
        <v>49</v>
      </c>
      <c r="F109" s="14" t="s">
        <v>21</v>
      </c>
      <c r="G109" s="14" t="s">
        <v>29</v>
      </c>
      <c r="H109" s="14" t="s">
        <v>44</v>
      </c>
      <c r="I109" s="14" t="s">
        <v>24</v>
      </c>
      <c r="J109" s="14" t="s">
        <v>46</v>
      </c>
      <c r="K109" s="16">
        <v>8.0000000000000002E-3</v>
      </c>
      <c r="L109" s="17">
        <v>42621</v>
      </c>
      <c r="M109" s="18">
        <v>148.3172429</v>
      </c>
      <c r="N109" s="18">
        <v>150.23019400000001</v>
      </c>
      <c r="O109" s="18">
        <v>152.01786469999999</v>
      </c>
      <c r="P109" s="18">
        <v>145.57780220000001</v>
      </c>
      <c r="Q109" s="18">
        <v>152.6714178</v>
      </c>
      <c r="R109" s="18">
        <v>155.96102379999999</v>
      </c>
      <c r="S109" s="18">
        <v>155.68785099999999</v>
      </c>
      <c r="T109" s="18">
        <v>154.5754738</v>
      </c>
      <c r="U109" s="19">
        <v>4.2200000000000001E-2</v>
      </c>
      <c r="V109" s="19">
        <v>0.1154</v>
      </c>
      <c r="W109" s="19">
        <v>7.7100000000000002E-2</v>
      </c>
      <c r="X109" s="19">
        <v>0.1105</v>
      </c>
      <c r="Y109" s="19">
        <v>-0.1211</v>
      </c>
      <c r="Z109" s="19">
        <v>8.0000000000000002E-3</v>
      </c>
      <c r="AA109" s="20">
        <v>0</v>
      </c>
      <c r="AB109" s="21">
        <f>IFERROR(AVERAGE($V109:$Z109),"")</f>
        <v>3.798E-2</v>
      </c>
      <c r="AC109" s="21">
        <f>IFERROR(_xlfn.STDEV.P($V109:$Z109),"")</f>
        <v>8.8304731470063361E-2</v>
      </c>
    </row>
    <row r="110" spans="1:29" ht="14.25" customHeight="1" x14ac:dyDescent="0.3">
      <c r="A110" s="14" t="s">
        <v>181</v>
      </c>
      <c r="B110" s="15" t="s">
        <v>177</v>
      </c>
      <c r="C110" s="14" t="s">
        <v>28</v>
      </c>
      <c r="D110" s="14" t="s">
        <v>48</v>
      </c>
      <c r="E110" s="14" t="s">
        <v>49</v>
      </c>
      <c r="F110" s="14" t="s">
        <v>21</v>
      </c>
      <c r="G110" s="14" t="s">
        <v>29</v>
      </c>
      <c r="H110" s="14" t="s">
        <v>44</v>
      </c>
      <c r="I110" s="14" t="s">
        <v>24</v>
      </c>
      <c r="J110" s="14" t="s">
        <v>46</v>
      </c>
      <c r="K110" s="16">
        <v>0.01</v>
      </c>
      <c r="L110" s="17">
        <v>42621</v>
      </c>
      <c r="M110" s="18">
        <v>145.07536959999999</v>
      </c>
      <c r="N110" s="18">
        <v>146.91664069999999</v>
      </c>
      <c r="O110" s="18">
        <v>148.6375773</v>
      </c>
      <c r="P110" s="18">
        <v>142.3117847</v>
      </c>
      <c r="Q110" s="18">
        <v>149.21690169999999</v>
      </c>
      <c r="R110" s="18">
        <v>152.40209290000001</v>
      </c>
      <c r="S110" s="18">
        <v>152.10422070000001</v>
      </c>
      <c r="T110" s="18">
        <v>150.986763</v>
      </c>
      <c r="U110" s="19">
        <v>4.07E-2</v>
      </c>
      <c r="V110" s="19">
        <v>0.1128</v>
      </c>
      <c r="W110" s="19">
        <v>7.4499999999999997E-2</v>
      </c>
      <c r="X110" s="19">
        <v>0.1079</v>
      </c>
      <c r="Y110" s="19">
        <v>-0.1232</v>
      </c>
      <c r="Z110" s="19">
        <v>5.5999999999999999E-3</v>
      </c>
      <c r="AA110" s="20">
        <v>0</v>
      </c>
      <c r="AB110" s="21">
        <f>IFERROR(AVERAGE($V110:$Z110),"")</f>
        <v>3.5520000000000003E-2</v>
      </c>
      <c r="AC110" s="21">
        <f>IFERROR(_xlfn.STDEV.P($V110:$Z110),"")</f>
        <v>8.8111007257890311E-2</v>
      </c>
    </row>
    <row r="111" spans="1:29" ht="14.25" customHeight="1" x14ac:dyDescent="0.3">
      <c r="A111" s="14" t="s">
        <v>182</v>
      </c>
      <c r="B111" s="15" t="s">
        <v>177</v>
      </c>
      <c r="C111" s="14" t="s">
        <v>18</v>
      </c>
      <c r="D111" s="14" t="s">
        <v>48</v>
      </c>
      <c r="E111" s="14" t="s">
        <v>53</v>
      </c>
      <c r="F111" s="14" t="s">
        <v>21</v>
      </c>
      <c r="G111" s="14" t="s">
        <v>22</v>
      </c>
      <c r="H111" s="14" t="s">
        <v>44</v>
      </c>
      <c r="I111" s="14" t="s">
        <v>24</v>
      </c>
      <c r="J111" s="14" t="s">
        <v>55</v>
      </c>
      <c r="K111" s="16">
        <v>1.15E-2</v>
      </c>
      <c r="L111" s="17">
        <v>38856</v>
      </c>
      <c r="M111" s="18">
        <v>0</v>
      </c>
      <c r="N111" s="18">
        <v>0</v>
      </c>
      <c r="O111" s="18">
        <v>0</v>
      </c>
      <c r="P111" s="18">
        <v>0</v>
      </c>
      <c r="Q111" s="18">
        <v>0</v>
      </c>
      <c r="R111" s="18">
        <v>0</v>
      </c>
      <c r="S111" s="18">
        <v>0</v>
      </c>
      <c r="T111" s="18">
        <v>0</v>
      </c>
      <c r="U111" s="19">
        <v>0</v>
      </c>
      <c r="V111" s="19" t="s">
        <v>26</v>
      </c>
      <c r="W111" s="19">
        <v>6.3299999999999995E-2</v>
      </c>
      <c r="X111" s="19">
        <v>7.8600000000000003E-2</v>
      </c>
      <c r="Y111" s="19">
        <v>1.32E-2</v>
      </c>
      <c r="Z111" s="19">
        <v>-2.5600000000000001E-2</v>
      </c>
      <c r="AA111" s="20">
        <v>129245461.34999999</v>
      </c>
      <c r="AB111" s="21">
        <f>IFERROR(AVERAGE($V111:$Z111),"")</f>
        <v>3.2374999999999994E-2</v>
      </c>
      <c r="AC111" s="21">
        <f>IFERROR(_xlfn.STDEV.P($V111:$Z111),"")</f>
        <v>4.1297359177070878E-2</v>
      </c>
    </row>
    <row r="112" spans="1:29" ht="14.25" customHeight="1" x14ac:dyDescent="0.3">
      <c r="A112" s="14" t="s">
        <v>183</v>
      </c>
      <c r="B112" s="15" t="s">
        <v>177</v>
      </c>
      <c r="C112" s="14" t="s">
        <v>18</v>
      </c>
      <c r="D112" s="14" t="s">
        <v>48</v>
      </c>
      <c r="E112" s="14" t="s">
        <v>133</v>
      </c>
      <c r="F112" s="14" t="s">
        <v>21</v>
      </c>
      <c r="G112" s="14" t="s">
        <v>22</v>
      </c>
      <c r="H112" s="14" t="s">
        <v>44</v>
      </c>
      <c r="I112" s="14" t="s">
        <v>24</v>
      </c>
      <c r="J112" s="14" t="s">
        <v>184</v>
      </c>
      <c r="K112" s="16">
        <v>8.5000000000000006E-3</v>
      </c>
      <c r="L112" s="17">
        <v>45042</v>
      </c>
      <c r="M112" s="18">
        <v>117.0830878</v>
      </c>
      <c r="N112" s="18">
        <v>118.0004003</v>
      </c>
      <c r="O112" s="18">
        <v>118.0584818</v>
      </c>
      <c r="P112" s="18">
        <v>113.2304467</v>
      </c>
      <c r="Q112" s="18">
        <v>114.52767059999999</v>
      </c>
      <c r="R112" s="18">
        <v>115.8313004</v>
      </c>
      <c r="S112" s="18">
        <v>115.55504639999999</v>
      </c>
      <c r="T112" s="18">
        <v>116.0931834</v>
      </c>
      <c r="U112" s="19">
        <v>-8.5000000000000006E-3</v>
      </c>
      <c r="V112" s="19">
        <v>4.4499999999999998E-2</v>
      </c>
      <c r="W112" s="19">
        <v>3.5099999999999999E-2</v>
      </c>
      <c r="X112" s="19">
        <v>4.7300000000000002E-2</v>
      </c>
      <c r="Y112" s="19" t="s">
        <v>26</v>
      </c>
      <c r="Z112" s="19" t="s">
        <v>26</v>
      </c>
      <c r="AA112" s="20">
        <v>88140950.950000003</v>
      </c>
      <c r="AB112" s="21">
        <f>IFERROR(AVERAGE($V112:$Z112),"")</f>
        <v>4.2300000000000004E-2</v>
      </c>
      <c r="AC112" s="21">
        <f>IFERROR(_xlfn.STDEV.P($V112:$Z112),"")</f>
        <v>5.2179178478265319E-3</v>
      </c>
    </row>
    <row r="113" spans="1:29" ht="14.25" customHeight="1" x14ac:dyDescent="0.3">
      <c r="A113" s="14" t="s">
        <v>185</v>
      </c>
      <c r="B113" s="15" t="s">
        <v>177</v>
      </c>
      <c r="C113" s="14" t="s">
        <v>18</v>
      </c>
      <c r="D113" s="14" t="s">
        <v>48</v>
      </c>
      <c r="E113" s="14" t="s">
        <v>53</v>
      </c>
      <c r="F113" s="14" t="s">
        <v>21</v>
      </c>
      <c r="G113" s="14" t="s">
        <v>22</v>
      </c>
      <c r="H113" s="14" t="s">
        <v>23</v>
      </c>
      <c r="I113" s="14" t="s">
        <v>24</v>
      </c>
      <c r="J113" s="14" t="s">
        <v>184</v>
      </c>
      <c r="K113" s="16">
        <v>4.7000000000000002E-3</v>
      </c>
      <c r="L113" s="17">
        <v>45769</v>
      </c>
      <c r="M113" s="18">
        <v>103.38149369999999</v>
      </c>
      <c r="N113" s="18">
        <v>103.9485521</v>
      </c>
      <c r="O113" s="18">
        <v>104.2486217</v>
      </c>
      <c r="P113" s="18">
        <v>104.58974240000001</v>
      </c>
      <c r="Q113" s="18">
        <v>104.9413357</v>
      </c>
      <c r="R113" s="18">
        <v>104.9413357</v>
      </c>
      <c r="S113" s="18">
        <v>104.9413357</v>
      </c>
      <c r="T113" s="18">
        <v>104.9413357</v>
      </c>
      <c r="U113" s="19">
        <v>-1</v>
      </c>
      <c r="V113" s="19">
        <v>3.3099999999999997E-2</v>
      </c>
      <c r="W113" s="19" t="s">
        <v>26</v>
      </c>
      <c r="X113" s="19" t="s">
        <v>26</v>
      </c>
      <c r="Y113" s="19" t="s">
        <v>26</v>
      </c>
      <c r="Z113" s="19" t="s">
        <v>26</v>
      </c>
      <c r="AA113" s="20">
        <v>110364350.11</v>
      </c>
      <c r="AB113" s="21">
        <f>IFERROR(AVERAGE($V113:$Z113),"")</f>
        <v>3.3099999999999997E-2</v>
      </c>
      <c r="AC113" s="21">
        <f>IFERROR(_xlfn.STDEV.P($V113:$Z113),"")</f>
        <v>0</v>
      </c>
    </row>
    <row r="114" spans="1:29" ht="14.25" customHeight="1" x14ac:dyDescent="0.3">
      <c r="A114" s="14" t="s">
        <v>186</v>
      </c>
      <c r="B114" s="15" t="s">
        <v>177</v>
      </c>
      <c r="C114" s="14" t="s">
        <v>28</v>
      </c>
      <c r="D114" s="14" t="s">
        <v>48</v>
      </c>
      <c r="E114" s="14" t="s">
        <v>49</v>
      </c>
      <c r="F114" s="14" t="s">
        <v>21</v>
      </c>
      <c r="G114" s="14" t="s">
        <v>29</v>
      </c>
      <c r="H114" s="14" t="s">
        <v>44</v>
      </c>
      <c r="I114" s="14" t="s">
        <v>24</v>
      </c>
      <c r="J114" s="14" t="s">
        <v>46</v>
      </c>
      <c r="K114" s="16">
        <v>8.9999999999999993E-3</v>
      </c>
      <c r="L114" s="17">
        <v>43004</v>
      </c>
      <c r="M114" s="18">
        <v>113.13280090000001</v>
      </c>
      <c r="N114" s="18">
        <v>113.2307225</v>
      </c>
      <c r="O114" s="18">
        <v>114.1799745</v>
      </c>
      <c r="P114" s="18">
        <v>112.1696395</v>
      </c>
      <c r="Q114" s="18">
        <v>113.6493464</v>
      </c>
      <c r="R114" s="18">
        <v>114.1026533</v>
      </c>
      <c r="S114" s="18">
        <v>114.24805600000001</v>
      </c>
      <c r="T114" s="18">
        <v>113.3627481</v>
      </c>
      <c r="U114" s="19">
        <v>2E-3</v>
      </c>
      <c r="V114" s="19">
        <v>6.4500000000000002E-2</v>
      </c>
      <c r="W114" s="19">
        <v>3.2500000000000001E-2</v>
      </c>
      <c r="X114" s="19">
        <v>5.8299999999999998E-2</v>
      </c>
      <c r="Y114" s="19">
        <v>-7.8200000000000006E-2</v>
      </c>
      <c r="Z114" s="19">
        <v>-1.17E-2</v>
      </c>
      <c r="AA114" s="20">
        <v>0</v>
      </c>
      <c r="AB114" s="21">
        <f>IFERROR(AVERAGE($V114:$Z114),"")</f>
        <v>1.3079999999999998E-2</v>
      </c>
      <c r="AC114" s="21">
        <f>IFERROR(_xlfn.STDEV.P($V114:$Z114),"")</f>
        <v>5.29378654650903E-2</v>
      </c>
    </row>
    <row r="115" spans="1:29" ht="14.25" customHeight="1" x14ac:dyDescent="0.3">
      <c r="A115" s="14" t="s">
        <v>187</v>
      </c>
      <c r="B115" s="15" t="s">
        <v>177</v>
      </c>
      <c r="C115" s="14" t="s">
        <v>18</v>
      </c>
      <c r="D115" s="14" t="s">
        <v>48</v>
      </c>
      <c r="E115" s="14" t="s">
        <v>53</v>
      </c>
      <c r="F115" s="14" t="s">
        <v>21</v>
      </c>
      <c r="G115" s="14" t="s">
        <v>22</v>
      </c>
      <c r="H115" s="14" t="s">
        <v>23</v>
      </c>
      <c r="I115" s="14" t="s">
        <v>24</v>
      </c>
      <c r="J115" s="14" t="s">
        <v>184</v>
      </c>
      <c r="K115" s="16">
        <v>6.0000000000000001E-3</v>
      </c>
      <c r="L115" s="17">
        <v>45897</v>
      </c>
      <c r="M115" s="18">
        <v>101.4337721</v>
      </c>
      <c r="N115" s="18">
        <v>102.18455640000001</v>
      </c>
      <c r="O115" s="18">
        <v>102.3774554</v>
      </c>
      <c r="P115" s="18">
        <v>102.45874000000001</v>
      </c>
      <c r="Q115" s="18">
        <v>102.9788209</v>
      </c>
      <c r="R115" s="18">
        <v>103.4634128</v>
      </c>
      <c r="S115" s="18">
        <v>103.93987989999999</v>
      </c>
      <c r="T115" s="18">
        <v>104.3776596</v>
      </c>
      <c r="U115" s="19">
        <v>2.9000000000000001E-2</v>
      </c>
      <c r="V115" s="19">
        <v>1.43E-2</v>
      </c>
      <c r="W115" s="19" t="s">
        <v>26</v>
      </c>
      <c r="X115" s="19" t="s">
        <v>26</v>
      </c>
      <c r="Y115" s="19" t="s">
        <v>26</v>
      </c>
      <c r="Z115" s="19" t="s">
        <v>26</v>
      </c>
      <c r="AA115" s="20">
        <v>116534516.34999999</v>
      </c>
      <c r="AB115" s="21">
        <f>IFERROR(AVERAGE($V115:$Z115),"")</f>
        <v>1.43E-2</v>
      </c>
      <c r="AC115" s="21">
        <f>IFERROR(_xlfn.STDEV.P($V115:$Z115),"")</f>
        <v>0</v>
      </c>
    </row>
    <row r="116" spans="1:29" ht="14.25" customHeight="1" x14ac:dyDescent="0.3">
      <c r="A116" s="14" t="s">
        <v>188</v>
      </c>
      <c r="B116" s="15" t="s">
        <v>177</v>
      </c>
      <c r="C116" s="14" t="s">
        <v>18</v>
      </c>
      <c r="D116" s="14" t="s">
        <v>48</v>
      </c>
      <c r="E116" s="14" t="s">
        <v>53</v>
      </c>
      <c r="F116" s="14" t="s">
        <v>21</v>
      </c>
      <c r="G116" s="14" t="s">
        <v>22</v>
      </c>
      <c r="H116" s="14" t="s">
        <v>23</v>
      </c>
      <c r="I116" s="14" t="s">
        <v>24</v>
      </c>
      <c r="J116" s="14" t="s">
        <v>184</v>
      </c>
      <c r="K116" s="16">
        <v>5.7000000000000002E-3</v>
      </c>
      <c r="L116" s="17">
        <v>45987</v>
      </c>
      <c r="M116" s="18">
        <v>100.2999135</v>
      </c>
      <c r="N116" s="18">
        <v>101.2065676</v>
      </c>
      <c r="O116" s="18">
        <v>101.285022</v>
      </c>
      <c r="P116" s="18">
        <v>101.1835449</v>
      </c>
      <c r="Q116" s="18">
        <v>101.76873860000001</v>
      </c>
      <c r="R116" s="18">
        <v>102.2099108</v>
      </c>
      <c r="S116" s="18">
        <v>102.7733178</v>
      </c>
      <c r="T116" s="18">
        <v>103.1815208</v>
      </c>
      <c r="U116" s="19">
        <v>2.87E-2</v>
      </c>
      <c r="V116" s="19">
        <v>2.5999999999999999E-3</v>
      </c>
      <c r="W116" s="19" t="s">
        <v>26</v>
      </c>
      <c r="X116" s="19" t="s">
        <v>26</v>
      </c>
      <c r="Y116" s="19" t="s">
        <v>26</v>
      </c>
      <c r="Z116" s="19" t="s">
        <v>26</v>
      </c>
      <c r="AA116" s="20">
        <v>129142111.58</v>
      </c>
      <c r="AB116" s="21">
        <f>IFERROR(AVERAGE($V116:$Z116),"")</f>
        <v>2.5999999999999999E-3</v>
      </c>
      <c r="AC116" s="21">
        <f>IFERROR(_xlfn.STDEV.P($V116:$Z116),"")</f>
        <v>0</v>
      </c>
    </row>
    <row r="117" spans="1:29" ht="14.25" customHeight="1" x14ac:dyDescent="0.3">
      <c r="A117" s="14" t="s">
        <v>189</v>
      </c>
      <c r="B117" s="15" t="s">
        <v>177</v>
      </c>
      <c r="C117" s="14" t="s">
        <v>28</v>
      </c>
      <c r="D117" s="14" t="s">
        <v>48</v>
      </c>
      <c r="E117" s="14" t="s">
        <v>49</v>
      </c>
      <c r="F117" s="14" t="s">
        <v>21</v>
      </c>
      <c r="G117" s="14" t="s">
        <v>29</v>
      </c>
      <c r="H117" s="14" t="s">
        <v>44</v>
      </c>
      <c r="I117" s="14" t="s">
        <v>24</v>
      </c>
      <c r="J117" s="14" t="s">
        <v>46</v>
      </c>
      <c r="K117" s="16">
        <v>0.01</v>
      </c>
      <c r="L117" s="17">
        <v>43004</v>
      </c>
      <c r="M117" s="18">
        <v>87.588572299999996</v>
      </c>
      <c r="N117" s="18">
        <v>87.606770900000001</v>
      </c>
      <c r="O117" s="18">
        <v>88.191349200000005</v>
      </c>
      <c r="P117" s="18">
        <v>86.589698400000003</v>
      </c>
      <c r="Q117" s="18">
        <v>87.723342599999995</v>
      </c>
      <c r="R117" s="18">
        <v>86.904199300000002</v>
      </c>
      <c r="S117" s="18">
        <v>87.006020800000002</v>
      </c>
      <c r="T117" s="18">
        <v>86.322890799999996</v>
      </c>
      <c r="U117" s="19">
        <v>-1.4500000000000001E-2</v>
      </c>
      <c r="V117" s="19">
        <v>2.7699999999999999E-2</v>
      </c>
      <c r="W117" s="19">
        <v>-1.9E-3</v>
      </c>
      <c r="X117" s="19">
        <v>1.89E-2</v>
      </c>
      <c r="Y117" s="19">
        <v>-0.1094</v>
      </c>
      <c r="Z117" s="19">
        <v>-4.3299999999999998E-2</v>
      </c>
      <c r="AA117" s="20">
        <v>0</v>
      </c>
      <c r="AB117" s="21">
        <f>IFERROR(AVERAGE($V117:$Z117),"")</f>
        <v>-2.1599999999999998E-2</v>
      </c>
      <c r="AC117" s="21">
        <f>IFERROR(_xlfn.STDEV.P($V117:$Z117),"")</f>
        <v>5.0276356272108663E-2</v>
      </c>
    </row>
    <row r="118" spans="1:29" ht="14.25" customHeight="1" x14ac:dyDescent="0.3">
      <c r="A118" s="14" t="s">
        <v>190</v>
      </c>
      <c r="B118" s="15" t="s">
        <v>177</v>
      </c>
      <c r="C118" s="14" t="s">
        <v>18</v>
      </c>
      <c r="D118" s="14" t="s">
        <v>48</v>
      </c>
      <c r="E118" s="14" t="s">
        <v>53</v>
      </c>
      <c r="F118" s="14" t="s">
        <v>21</v>
      </c>
      <c r="G118" s="14" t="s">
        <v>22</v>
      </c>
      <c r="H118" s="14" t="s">
        <v>23</v>
      </c>
      <c r="I118" s="14" t="s">
        <v>24</v>
      </c>
      <c r="J118" s="14" t="s">
        <v>35</v>
      </c>
      <c r="K118" s="16">
        <v>6.0000000000000001E-3</v>
      </c>
      <c r="L118" s="17">
        <v>39897</v>
      </c>
      <c r="M118" s="18">
        <v>0</v>
      </c>
      <c r="N118" s="18">
        <v>0</v>
      </c>
      <c r="O118" s="18">
        <v>0</v>
      </c>
      <c r="P118" s="18">
        <v>0</v>
      </c>
      <c r="Q118" s="18">
        <v>0</v>
      </c>
      <c r="R118" s="18">
        <v>0</v>
      </c>
      <c r="S118" s="18">
        <v>0</v>
      </c>
      <c r="T118" s="18">
        <v>0</v>
      </c>
      <c r="U118" s="19">
        <v>0</v>
      </c>
      <c r="V118" s="19">
        <v>-1</v>
      </c>
      <c r="W118" s="19">
        <v>5.9799999999999999E-2</v>
      </c>
      <c r="X118" s="19">
        <v>6.7000000000000004E-2</v>
      </c>
      <c r="Y118" s="19">
        <v>3.9399999999999998E-2</v>
      </c>
      <c r="Z118" s="19">
        <v>-6.7000000000000002E-3</v>
      </c>
      <c r="AA118" s="20">
        <v>194957198.62</v>
      </c>
      <c r="AB118" s="21">
        <f>IFERROR(AVERAGE($V118:$Z118),"")</f>
        <v>-0.1681</v>
      </c>
      <c r="AC118" s="21">
        <f>IFERROR(_xlfn.STDEV.P($V118:$Z118),"")</f>
        <v>0.41674314391480993</v>
      </c>
    </row>
    <row r="119" spans="1:29" ht="14.25" customHeight="1" x14ac:dyDescent="0.3">
      <c r="A119" s="14" t="s">
        <v>191</v>
      </c>
      <c r="B119" s="15" t="s">
        <v>177</v>
      </c>
      <c r="C119" s="14" t="s">
        <v>28</v>
      </c>
      <c r="D119" s="14" t="s">
        <v>48</v>
      </c>
      <c r="E119" s="14" t="s">
        <v>53</v>
      </c>
      <c r="F119" s="14" t="s">
        <v>21</v>
      </c>
      <c r="G119" s="14" t="s">
        <v>22</v>
      </c>
      <c r="H119" s="14" t="s">
        <v>23</v>
      </c>
      <c r="I119" s="14" t="s">
        <v>24</v>
      </c>
      <c r="J119" s="14" t="s">
        <v>35</v>
      </c>
      <c r="K119" s="16">
        <v>5.0000000000000001E-3</v>
      </c>
      <c r="L119" s="17">
        <v>40056</v>
      </c>
      <c r="M119" s="18">
        <v>0</v>
      </c>
      <c r="N119" s="18">
        <v>0</v>
      </c>
      <c r="O119" s="18">
        <v>0</v>
      </c>
      <c r="P119" s="18">
        <v>0</v>
      </c>
      <c r="Q119" s="18">
        <v>0</v>
      </c>
      <c r="R119" s="18">
        <v>0</v>
      </c>
      <c r="S119" s="18">
        <v>0</v>
      </c>
      <c r="T119" s="18">
        <v>0</v>
      </c>
      <c r="U119" s="19">
        <v>0</v>
      </c>
      <c r="V119" s="19">
        <v>-1</v>
      </c>
      <c r="W119" s="19">
        <v>4.8599999999999997E-2</v>
      </c>
      <c r="X119" s="19">
        <v>4.82E-2</v>
      </c>
      <c r="Y119" s="19">
        <v>1.38E-2</v>
      </c>
      <c r="Z119" s="19">
        <v>6.4999999999999997E-3</v>
      </c>
      <c r="AA119" s="20">
        <v>359036773.95999998</v>
      </c>
      <c r="AB119" s="21">
        <f>IFERROR(AVERAGE($V119:$Z119),"")</f>
        <v>-0.17658000000000001</v>
      </c>
      <c r="AC119" s="21">
        <f>IFERROR(_xlfn.STDEV.P($V119:$Z119),"")</f>
        <v>0.41207169473284616</v>
      </c>
    </row>
    <row r="120" spans="1:29" ht="14.25" customHeight="1" x14ac:dyDescent="0.3">
      <c r="A120" s="14" t="s">
        <v>192</v>
      </c>
      <c r="B120" s="15" t="s">
        <v>177</v>
      </c>
      <c r="C120" s="14" t="s">
        <v>28</v>
      </c>
      <c r="D120" s="14" t="s">
        <v>48</v>
      </c>
      <c r="E120" s="14" t="s">
        <v>53</v>
      </c>
      <c r="F120" s="14" t="s">
        <v>21</v>
      </c>
      <c r="G120" s="14" t="s">
        <v>22</v>
      </c>
      <c r="H120" s="14" t="s">
        <v>44</v>
      </c>
      <c r="I120" s="14" t="s">
        <v>45</v>
      </c>
      <c r="J120" s="14" t="s">
        <v>46</v>
      </c>
      <c r="K120" s="16">
        <v>8.5000000000000006E-3</v>
      </c>
      <c r="L120" s="17">
        <v>38517</v>
      </c>
      <c r="M120" s="18">
        <v>0</v>
      </c>
      <c r="N120" s="18">
        <v>0</v>
      </c>
      <c r="O120" s="18">
        <v>0</v>
      </c>
      <c r="P120" s="18">
        <v>0</v>
      </c>
      <c r="Q120" s="18">
        <v>0</v>
      </c>
      <c r="R120" s="18">
        <v>0</v>
      </c>
      <c r="S120" s="18">
        <v>0</v>
      </c>
      <c r="T120" s="18">
        <v>0</v>
      </c>
      <c r="U120" s="19">
        <v>0</v>
      </c>
      <c r="V120" s="19">
        <v>-1</v>
      </c>
      <c r="W120" s="19">
        <v>3.3500000000000002E-2</v>
      </c>
      <c r="X120" s="19">
        <v>4.2200000000000001E-2</v>
      </c>
      <c r="Y120" s="19">
        <v>-1.0800000000000001E-2</v>
      </c>
      <c r="Z120" s="19">
        <v>-1.34E-2</v>
      </c>
      <c r="AA120" s="20">
        <v>101472529.84</v>
      </c>
      <c r="AB120" s="21">
        <f>IFERROR(AVERAGE($V120:$Z120),"")</f>
        <v>-0.18970000000000001</v>
      </c>
      <c r="AC120" s="21">
        <f>IFERROR(_xlfn.STDEV.P($V120:$Z120),"")</f>
        <v>0.40577551429330971</v>
      </c>
    </row>
    <row r="121" spans="1:29" ht="14.25" customHeight="1" x14ac:dyDescent="0.3">
      <c r="A121" s="14" t="s">
        <v>193</v>
      </c>
      <c r="B121" s="15" t="s">
        <v>177</v>
      </c>
      <c r="C121" s="14" t="s">
        <v>18</v>
      </c>
      <c r="D121" s="14" t="s">
        <v>48</v>
      </c>
      <c r="E121" s="14" t="s">
        <v>49</v>
      </c>
      <c r="F121" s="14" t="s">
        <v>21</v>
      </c>
      <c r="G121" s="14" t="s">
        <v>29</v>
      </c>
      <c r="H121" s="14" t="s">
        <v>44</v>
      </c>
      <c r="I121" s="14" t="s">
        <v>24</v>
      </c>
      <c r="J121" s="14" t="s">
        <v>46</v>
      </c>
      <c r="K121" s="16">
        <v>1.4999999999999999E-2</v>
      </c>
      <c r="L121" s="17">
        <v>41549</v>
      </c>
      <c r="M121" s="18">
        <v>157.87692150000001</v>
      </c>
      <c r="N121" s="18">
        <v>161.39727490000001</v>
      </c>
      <c r="O121" s="18">
        <v>162.42230180000001</v>
      </c>
      <c r="P121" s="18">
        <v>157.57682990000001</v>
      </c>
      <c r="Q121" s="18">
        <v>166.0762857</v>
      </c>
      <c r="R121" s="18">
        <v>168.199836</v>
      </c>
      <c r="S121" s="18">
        <v>168.11621539999999</v>
      </c>
      <c r="T121" s="18">
        <v>168.51734569999999</v>
      </c>
      <c r="U121" s="19">
        <v>6.7400000000000002E-2</v>
      </c>
      <c r="V121" s="19">
        <v>6.4899999999999999E-2</v>
      </c>
      <c r="W121" s="19">
        <v>8.3900000000000002E-2</v>
      </c>
      <c r="X121" s="19">
        <v>5.8299999999999998E-2</v>
      </c>
      <c r="Y121" s="19">
        <v>-0.1207</v>
      </c>
      <c r="Z121" s="19">
        <v>1.7999999999999999E-2</v>
      </c>
      <c r="AA121" s="20">
        <v>0</v>
      </c>
      <c r="AB121" s="21">
        <f>IFERROR(AVERAGE($V121:$Z121),"")</f>
        <v>2.0879999999999996E-2</v>
      </c>
      <c r="AC121" s="21">
        <f>IFERROR(_xlfn.STDEV.P($V121:$Z121),"")</f>
        <v>7.3976655777346412E-2</v>
      </c>
    </row>
    <row r="122" spans="1:29" ht="14.25" customHeight="1" x14ac:dyDescent="0.3">
      <c r="A122" s="14" t="s">
        <v>194</v>
      </c>
      <c r="B122" s="15" t="s">
        <v>177</v>
      </c>
      <c r="C122" s="14" t="s">
        <v>18</v>
      </c>
      <c r="D122" s="14" t="s">
        <v>48</v>
      </c>
      <c r="E122" s="14" t="s">
        <v>49</v>
      </c>
      <c r="F122" s="14" t="s">
        <v>21</v>
      </c>
      <c r="G122" s="14" t="s">
        <v>29</v>
      </c>
      <c r="H122" s="14" t="s">
        <v>44</v>
      </c>
      <c r="I122" s="14" t="s">
        <v>24</v>
      </c>
      <c r="J122" s="14" t="s">
        <v>46</v>
      </c>
      <c r="K122" s="16">
        <v>1.7000000000000001E-2</v>
      </c>
      <c r="L122" s="17">
        <v>41549</v>
      </c>
      <c r="M122" s="18">
        <v>153.71678230000001</v>
      </c>
      <c r="N122" s="18">
        <v>157.1123231</v>
      </c>
      <c r="O122" s="18">
        <v>158.08122900000001</v>
      </c>
      <c r="P122" s="18">
        <v>153.33411530000001</v>
      </c>
      <c r="Q122" s="18">
        <v>161.57292169999999</v>
      </c>
      <c r="R122" s="18">
        <v>163.6066936</v>
      </c>
      <c r="S122" s="18">
        <v>163.49201260000001</v>
      </c>
      <c r="T122" s="18">
        <v>163.848478</v>
      </c>
      <c r="U122" s="19">
        <v>6.59E-2</v>
      </c>
      <c r="V122" s="19">
        <v>6.2399999999999997E-2</v>
      </c>
      <c r="W122" s="19">
        <v>8.1299999999999997E-2</v>
      </c>
      <c r="X122" s="19">
        <v>5.5800000000000002E-2</v>
      </c>
      <c r="Y122" s="19">
        <v>-0.12280000000000001</v>
      </c>
      <c r="Z122" s="19">
        <v>1.5599999999999999E-2</v>
      </c>
      <c r="AA122" s="20">
        <v>0</v>
      </c>
      <c r="AB122" s="21">
        <f>IFERROR(AVERAGE($V122:$Z122),"")</f>
        <v>1.8460000000000001E-2</v>
      </c>
      <c r="AC122" s="21">
        <f>IFERROR(_xlfn.STDEV.P($V122:$Z122),"")</f>
        <v>7.3805734194573258E-2</v>
      </c>
    </row>
    <row r="123" spans="1:29" ht="14.25" customHeight="1" x14ac:dyDescent="0.3">
      <c r="A123" s="14" t="s">
        <v>195</v>
      </c>
      <c r="B123" s="15" t="s">
        <v>177</v>
      </c>
      <c r="C123" s="14" t="s">
        <v>18</v>
      </c>
      <c r="D123" s="14" t="s">
        <v>48</v>
      </c>
      <c r="E123" s="14" t="s">
        <v>49</v>
      </c>
      <c r="F123" s="14" t="s">
        <v>21</v>
      </c>
      <c r="G123" s="14" t="s">
        <v>29</v>
      </c>
      <c r="H123" s="14" t="s">
        <v>44</v>
      </c>
      <c r="I123" s="14" t="s">
        <v>24</v>
      </c>
      <c r="J123" s="14" t="s">
        <v>46</v>
      </c>
      <c r="K123" s="16">
        <v>1.2999999999999999E-2</v>
      </c>
      <c r="L123" s="17">
        <v>41549</v>
      </c>
      <c r="M123" s="18">
        <v>155.52182260000001</v>
      </c>
      <c r="N123" s="18">
        <v>158.4419259</v>
      </c>
      <c r="O123" s="18">
        <v>159.3509631</v>
      </c>
      <c r="P123" s="18">
        <v>155.97914549999999</v>
      </c>
      <c r="Q123" s="18">
        <v>160.90884700000001</v>
      </c>
      <c r="R123" s="18">
        <v>162.34803840000001</v>
      </c>
      <c r="S123" s="18">
        <v>162.81177600000001</v>
      </c>
      <c r="T123" s="18">
        <v>163.41718549999999</v>
      </c>
      <c r="U123" s="19">
        <v>5.0799999999999998E-2</v>
      </c>
      <c r="V123" s="19">
        <v>6.6199999999999995E-2</v>
      </c>
      <c r="W123" s="19">
        <v>6.0100000000000001E-2</v>
      </c>
      <c r="X123" s="19">
        <v>4.3099999999999999E-2</v>
      </c>
      <c r="Y123" s="19">
        <v>-0.13250000000000001</v>
      </c>
      <c r="Z123" s="19">
        <v>1.29E-2</v>
      </c>
      <c r="AA123" s="20">
        <v>0</v>
      </c>
      <c r="AB123" s="21">
        <f>IFERROR(AVERAGE($V123:$Z123),"")</f>
        <v>9.9599999999999984E-3</v>
      </c>
      <c r="AC123" s="21">
        <f>IFERROR(_xlfn.STDEV.P($V123:$Z123),"")</f>
        <v>7.3591727795996209E-2</v>
      </c>
    </row>
    <row r="124" spans="1:29" ht="14.25" customHeight="1" x14ac:dyDescent="0.3">
      <c r="A124" s="14" t="s">
        <v>196</v>
      </c>
      <c r="B124" s="15" t="s">
        <v>177</v>
      </c>
      <c r="C124" s="14" t="s">
        <v>18</v>
      </c>
      <c r="D124" s="14" t="s">
        <v>48</v>
      </c>
      <c r="E124" s="14" t="s">
        <v>49</v>
      </c>
      <c r="F124" s="14" t="s">
        <v>21</v>
      </c>
      <c r="G124" s="14" t="s">
        <v>29</v>
      </c>
      <c r="H124" s="14" t="s">
        <v>44</v>
      </c>
      <c r="I124" s="14" t="s">
        <v>24</v>
      </c>
      <c r="J124" s="14" t="s">
        <v>46</v>
      </c>
      <c r="K124" s="16">
        <v>1.4999999999999999E-2</v>
      </c>
      <c r="L124" s="17">
        <v>41549</v>
      </c>
      <c r="M124" s="18">
        <v>151.00378860000001</v>
      </c>
      <c r="N124" s="18">
        <v>153.807895</v>
      </c>
      <c r="O124" s="18">
        <v>154.66210820000001</v>
      </c>
      <c r="P124" s="18">
        <v>151.35832550000001</v>
      </c>
      <c r="Q124" s="18">
        <v>156.111312</v>
      </c>
      <c r="R124" s="18">
        <v>157.47660809999999</v>
      </c>
      <c r="S124" s="18">
        <v>157.8942194</v>
      </c>
      <c r="T124" s="18">
        <v>158.44882559999999</v>
      </c>
      <c r="U124" s="19">
        <v>4.9299999999999997E-2</v>
      </c>
      <c r="V124" s="19">
        <v>6.3700000000000007E-2</v>
      </c>
      <c r="W124" s="19">
        <v>5.7599999999999998E-2</v>
      </c>
      <c r="X124" s="19">
        <v>4.0599999999999997E-2</v>
      </c>
      <c r="Y124" s="19">
        <v>-0.13450000000000001</v>
      </c>
      <c r="Z124" s="19">
        <v>1.0500000000000001E-2</v>
      </c>
      <c r="AA124" s="20">
        <v>0</v>
      </c>
      <c r="AB124" s="21">
        <f>IFERROR(AVERAGE($V124:$Z124),"")</f>
        <v>7.5799999999999965E-3</v>
      </c>
      <c r="AC124" s="21">
        <f>IFERROR(_xlfn.STDEV.P($V124:$Z124),"")</f>
        <v>7.3398948221347154E-2</v>
      </c>
    </row>
    <row r="125" spans="1:29" ht="14.25" customHeight="1" x14ac:dyDescent="0.3">
      <c r="A125" s="14" t="s">
        <v>197</v>
      </c>
      <c r="B125" s="15" t="s">
        <v>177</v>
      </c>
      <c r="C125" s="14" t="s">
        <v>18</v>
      </c>
      <c r="D125" s="14" t="s">
        <v>34</v>
      </c>
      <c r="E125" s="14" t="s">
        <v>20</v>
      </c>
      <c r="F125" s="14" t="s">
        <v>21</v>
      </c>
      <c r="G125" s="14" t="s">
        <v>22</v>
      </c>
      <c r="H125" s="14" t="s">
        <v>23</v>
      </c>
      <c r="I125" s="14" t="s">
        <v>24</v>
      </c>
      <c r="J125" s="14" t="s">
        <v>35</v>
      </c>
      <c r="K125" s="16">
        <v>4.0000000000000001E-3</v>
      </c>
      <c r="L125" s="17">
        <v>41038</v>
      </c>
      <c r="M125" s="18">
        <v>0</v>
      </c>
      <c r="N125" s="18">
        <v>0</v>
      </c>
      <c r="O125" s="18">
        <v>0</v>
      </c>
      <c r="P125" s="18">
        <v>0</v>
      </c>
      <c r="Q125" s="18">
        <v>0</v>
      </c>
      <c r="R125" s="18">
        <v>0</v>
      </c>
      <c r="S125" s="18">
        <v>0</v>
      </c>
      <c r="T125" s="18">
        <v>0</v>
      </c>
      <c r="U125" s="19">
        <v>0</v>
      </c>
      <c r="V125" s="19" t="s">
        <v>26</v>
      </c>
      <c r="W125" s="19">
        <v>5.5800000000000002E-2</v>
      </c>
      <c r="X125" s="19">
        <v>7.3200000000000001E-2</v>
      </c>
      <c r="Y125" s="19">
        <v>4.6199999999999998E-2</v>
      </c>
      <c r="Z125" s="19">
        <v>5.1999999999999998E-3</v>
      </c>
      <c r="AA125" s="20">
        <v>1240583547.5899999</v>
      </c>
      <c r="AB125" s="21">
        <f>IFERROR(AVERAGE($V125:$Z125),"")</f>
        <v>4.5100000000000001E-2</v>
      </c>
      <c r="AC125" s="21">
        <f>IFERROR(_xlfn.STDEV.P($V125:$Z125),"")</f>
        <v>2.498659640687383E-2</v>
      </c>
    </row>
    <row r="126" spans="1:29" ht="14.25" customHeight="1" x14ac:dyDescent="0.3">
      <c r="A126" s="14" t="s">
        <v>198</v>
      </c>
      <c r="B126" s="15" t="s">
        <v>177</v>
      </c>
      <c r="C126" s="14" t="s">
        <v>28</v>
      </c>
      <c r="D126" s="14" t="s">
        <v>34</v>
      </c>
      <c r="E126" s="14" t="s">
        <v>20</v>
      </c>
      <c r="F126" s="14" t="s">
        <v>21</v>
      </c>
      <c r="G126" s="14" t="s">
        <v>22</v>
      </c>
      <c r="H126" s="14" t="s">
        <v>23</v>
      </c>
      <c r="I126" s="14" t="s">
        <v>24</v>
      </c>
      <c r="J126" s="14" t="s">
        <v>35</v>
      </c>
      <c r="K126" s="16">
        <v>4.0000000000000001E-3</v>
      </c>
      <c r="L126" s="17">
        <v>41109</v>
      </c>
      <c r="M126" s="18">
        <v>0</v>
      </c>
      <c r="N126" s="18">
        <v>0</v>
      </c>
      <c r="O126" s="18">
        <v>0</v>
      </c>
      <c r="P126" s="18">
        <v>0</v>
      </c>
      <c r="Q126" s="18">
        <v>0</v>
      </c>
      <c r="R126" s="18">
        <v>0</v>
      </c>
      <c r="S126" s="18">
        <v>0</v>
      </c>
      <c r="T126" s="18">
        <v>0</v>
      </c>
      <c r="U126" s="19">
        <v>0</v>
      </c>
      <c r="V126" s="19" t="s">
        <v>26</v>
      </c>
      <c r="W126" s="19">
        <v>4.87E-2</v>
      </c>
      <c r="X126" s="19">
        <v>4.7899999999999998E-2</v>
      </c>
      <c r="Y126" s="19">
        <v>1.49E-2</v>
      </c>
      <c r="Z126" s="19">
        <v>4.1000000000000003E-3</v>
      </c>
      <c r="AA126" s="20">
        <v>1127735023.95</v>
      </c>
      <c r="AB126" s="21">
        <f>IFERROR(AVERAGE($V126:$Z126),"")</f>
        <v>2.8899999999999999E-2</v>
      </c>
      <c r="AC126" s="21">
        <f>IFERROR(_xlfn.STDEV.P($V126:$Z126),"")</f>
        <v>1.9774225648555743E-2</v>
      </c>
    </row>
    <row r="127" spans="1:29" ht="14.25" customHeight="1" x14ac:dyDescent="0.3">
      <c r="A127" s="14" t="s">
        <v>199</v>
      </c>
      <c r="B127" s="15" t="s">
        <v>177</v>
      </c>
      <c r="C127" s="14" t="s">
        <v>28</v>
      </c>
      <c r="D127" s="14" t="s">
        <v>48</v>
      </c>
      <c r="E127" s="14" t="s">
        <v>49</v>
      </c>
      <c r="F127" s="14" t="s">
        <v>21</v>
      </c>
      <c r="G127" s="14" t="s">
        <v>29</v>
      </c>
      <c r="H127" s="14" t="s">
        <v>23</v>
      </c>
      <c r="I127" s="14" t="s">
        <v>45</v>
      </c>
      <c r="J127" s="14" t="s">
        <v>46</v>
      </c>
      <c r="K127" s="16">
        <v>4.0000000000000001E-3</v>
      </c>
      <c r="L127" s="17">
        <v>44880</v>
      </c>
      <c r="M127" s="18">
        <v>115.3246547</v>
      </c>
      <c r="N127" s="18">
        <v>115.64678170000001</v>
      </c>
      <c r="O127" s="18">
        <v>115.9405809</v>
      </c>
      <c r="P127" s="18">
        <v>116.1772047</v>
      </c>
      <c r="Q127" s="18">
        <v>116.4922737</v>
      </c>
      <c r="R127" s="18">
        <v>116.7681936</v>
      </c>
      <c r="S127" s="18">
        <v>117.0636339</v>
      </c>
      <c r="T127" s="18">
        <v>117.3614151</v>
      </c>
      <c r="U127" s="19">
        <v>1.77E-2</v>
      </c>
      <c r="V127" s="19">
        <v>3.9399999999999998E-2</v>
      </c>
      <c r="W127" s="19">
        <v>4.8599999999999997E-2</v>
      </c>
      <c r="X127" s="19">
        <v>4.7E-2</v>
      </c>
      <c r="Y127" s="19">
        <v>4.5999999999999999E-3</v>
      </c>
      <c r="Z127" s="19" t="s">
        <v>26</v>
      </c>
      <c r="AA127" s="20">
        <v>38763916.520000003</v>
      </c>
      <c r="AB127" s="21">
        <f>IFERROR(AVERAGE($V127:$Z127),"")</f>
        <v>3.49E-2</v>
      </c>
      <c r="AC127" s="21">
        <f>IFERROR(_xlfn.STDEV.P($V127:$Z127),"")</f>
        <v>1.7835638480301171E-2</v>
      </c>
    </row>
    <row r="128" spans="1:29" ht="14.25" customHeight="1" x14ac:dyDescent="0.3">
      <c r="A128" s="14" t="s">
        <v>200</v>
      </c>
      <c r="B128" s="15" t="s">
        <v>177</v>
      </c>
      <c r="C128" s="14" t="s">
        <v>28</v>
      </c>
      <c r="D128" s="14" t="s">
        <v>78</v>
      </c>
      <c r="E128" s="14" t="s">
        <v>79</v>
      </c>
      <c r="F128" s="14" t="s">
        <v>80</v>
      </c>
      <c r="G128" s="14" t="s">
        <v>29</v>
      </c>
      <c r="H128" s="14" t="s">
        <v>44</v>
      </c>
      <c r="I128" s="14" t="s">
        <v>45</v>
      </c>
      <c r="J128" s="14" t="s">
        <v>46</v>
      </c>
      <c r="K128" s="16">
        <v>1.2500000000000001E-2</v>
      </c>
      <c r="L128" s="17">
        <v>44742</v>
      </c>
      <c r="M128" s="18">
        <v>9885.6231745999994</v>
      </c>
      <c r="N128" s="18">
        <v>9962.3786108000004</v>
      </c>
      <c r="O128" s="18">
        <v>9945.0194529</v>
      </c>
      <c r="P128" s="18">
        <v>9811.1063310999998</v>
      </c>
      <c r="Q128" s="18">
        <v>9972.7335884000004</v>
      </c>
      <c r="R128" s="18">
        <v>9947.7791863999992</v>
      </c>
      <c r="S128" s="18">
        <v>9915.7648449000008</v>
      </c>
      <c r="T128" s="18">
        <v>9912.2771164000005</v>
      </c>
      <c r="U128" s="19">
        <v>2.7000000000000001E-3</v>
      </c>
      <c r="V128" s="19">
        <v>-1.72E-2</v>
      </c>
      <c r="W128" s="19">
        <v>3.8E-3</v>
      </c>
      <c r="X128" s="19">
        <v>0</v>
      </c>
      <c r="Y128" s="19">
        <v>2.3E-3</v>
      </c>
      <c r="Z128" s="19" t="s">
        <v>26</v>
      </c>
      <c r="AA128" s="20">
        <v>43011673.479999997</v>
      </c>
      <c r="AB128" s="21">
        <f>IFERROR(AVERAGE($V128:$Z128),"")</f>
        <v>-2.7750000000000001E-3</v>
      </c>
      <c r="AC128" s="21">
        <f>IFERROR(_xlfn.STDEV.P($V128:$Z128),"")</f>
        <v>8.4375277777320543E-3</v>
      </c>
    </row>
    <row r="129" spans="1:29" ht="14.25" customHeight="1" x14ac:dyDescent="0.3">
      <c r="A129" s="14" t="s">
        <v>201</v>
      </c>
      <c r="B129" s="15" t="s">
        <v>177</v>
      </c>
      <c r="C129" s="14" t="s">
        <v>28</v>
      </c>
      <c r="D129" s="14" t="s">
        <v>78</v>
      </c>
      <c r="E129" s="14" t="s">
        <v>202</v>
      </c>
      <c r="F129" s="14" t="s">
        <v>203</v>
      </c>
      <c r="G129" s="14" t="s">
        <v>29</v>
      </c>
      <c r="H129" s="14" t="s">
        <v>44</v>
      </c>
      <c r="I129" s="14" t="s">
        <v>24</v>
      </c>
      <c r="J129" s="14" t="s">
        <v>46</v>
      </c>
      <c r="K129" s="16">
        <v>0.01</v>
      </c>
      <c r="L129" s="17">
        <v>43286</v>
      </c>
      <c r="M129" s="18">
        <v>10985.602874800001</v>
      </c>
      <c r="N129" s="18">
        <v>11084.9192597</v>
      </c>
      <c r="O129" s="18">
        <v>11298.0100747</v>
      </c>
      <c r="P129" s="18">
        <v>11103.3838309</v>
      </c>
      <c r="Q129" s="18">
        <v>11299.016734299999</v>
      </c>
      <c r="R129" s="18">
        <v>11321.441558</v>
      </c>
      <c r="S129" s="18">
        <v>11374.492996200001</v>
      </c>
      <c r="T129" s="18">
        <v>11386.4819924</v>
      </c>
      <c r="U129" s="19">
        <v>3.6499999999999998E-2</v>
      </c>
      <c r="V129" s="19">
        <v>-1.61E-2</v>
      </c>
      <c r="W129" s="19">
        <v>-7.1499999999999994E-2</v>
      </c>
      <c r="X129" s="19">
        <v>-0.1216</v>
      </c>
      <c r="Y129" s="19">
        <v>5.5100000000000003E-2</v>
      </c>
      <c r="Z129" s="19">
        <v>0.18729999999999999</v>
      </c>
      <c r="AA129" s="20">
        <v>205477133.68000001</v>
      </c>
      <c r="AB129" s="21">
        <f>IFERROR(AVERAGE($V129:$Z129),"")</f>
        <v>6.6400000000000018E-3</v>
      </c>
      <c r="AC129" s="21">
        <f>IFERROR(_xlfn.STDEV.P($V129:$Z129),"")</f>
        <v>0.10775423147143688</v>
      </c>
    </row>
    <row r="130" spans="1:29" ht="14.25" customHeight="1" x14ac:dyDescent="0.3">
      <c r="A130" s="14" t="s">
        <v>204</v>
      </c>
      <c r="B130" s="15" t="s">
        <v>205</v>
      </c>
      <c r="C130" s="14" t="s">
        <v>28</v>
      </c>
      <c r="D130" s="14" t="s">
        <v>48</v>
      </c>
      <c r="E130" s="14" t="s">
        <v>49</v>
      </c>
      <c r="F130" s="14" t="s">
        <v>49</v>
      </c>
      <c r="G130" s="14" t="s">
        <v>29</v>
      </c>
      <c r="H130" s="14" t="s">
        <v>206</v>
      </c>
      <c r="I130" s="14" t="s">
        <v>45</v>
      </c>
      <c r="J130" s="14" t="s">
        <v>46</v>
      </c>
      <c r="K130" s="16">
        <v>6.4999999999999997E-3</v>
      </c>
      <c r="L130" s="17">
        <v>45454</v>
      </c>
      <c r="M130" s="18">
        <v>110.11752042000001</v>
      </c>
      <c r="N130" s="18">
        <v>109.96069525</v>
      </c>
      <c r="O130" s="18">
        <v>110.8808518</v>
      </c>
      <c r="P130" s="18">
        <v>108.42663913</v>
      </c>
      <c r="Q130" s="18">
        <v>109.85388181</v>
      </c>
      <c r="R130" s="18">
        <v>110.47976465000001</v>
      </c>
      <c r="S130" s="18">
        <v>110.68764225</v>
      </c>
      <c r="T130" s="18">
        <v>109.15904030999999</v>
      </c>
      <c r="U130" s="19">
        <v>-8.6999999999999994E-3</v>
      </c>
      <c r="V130" s="19">
        <v>7.0599999999999996E-2</v>
      </c>
      <c r="W130" s="19">
        <v>2.76E-2</v>
      </c>
      <c r="X130" s="19" t="s">
        <v>26</v>
      </c>
      <c r="Y130" s="19" t="s">
        <v>26</v>
      </c>
      <c r="Z130" s="19" t="s">
        <v>26</v>
      </c>
      <c r="AA130" s="20">
        <v>0</v>
      </c>
      <c r="AB130" s="21">
        <f>IFERROR(AVERAGE($V130:$Z130),"")</f>
        <v>4.9099999999999998E-2</v>
      </c>
      <c r="AC130" s="21">
        <f>IFERROR(_xlfn.STDEV.P($V130:$Z130),"")</f>
        <v>2.1499999999999998E-2</v>
      </c>
    </row>
    <row r="131" spans="1:29" ht="14.25" customHeight="1" x14ac:dyDescent="0.3">
      <c r="A131" s="14" t="s">
        <v>207</v>
      </c>
      <c r="B131" s="15" t="s">
        <v>205</v>
      </c>
      <c r="C131" s="14" t="s">
        <v>28</v>
      </c>
      <c r="D131" s="14" t="s">
        <v>48</v>
      </c>
      <c r="E131" s="14" t="s">
        <v>49</v>
      </c>
      <c r="F131" s="14" t="s">
        <v>49</v>
      </c>
      <c r="G131" s="14" t="s">
        <v>29</v>
      </c>
      <c r="H131" s="14" t="s">
        <v>206</v>
      </c>
      <c r="I131" s="14" t="s">
        <v>45</v>
      </c>
      <c r="J131" s="14" t="s">
        <v>46</v>
      </c>
      <c r="K131" s="16">
        <v>6.4999999999999997E-3</v>
      </c>
      <c r="L131" s="17">
        <v>45454</v>
      </c>
      <c r="M131" s="18">
        <v>110.11971118</v>
      </c>
      <c r="N131" s="18">
        <v>109.96288379000001</v>
      </c>
      <c r="O131" s="18">
        <v>110.88305679</v>
      </c>
      <c r="P131" s="18">
        <v>108.42879666</v>
      </c>
      <c r="Q131" s="18">
        <v>109.85606659</v>
      </c>
      <c r="R131" s="18">
        <v>110.48196480999999</v>
      </c>
      <c r="S131" s="18">
        <v>110.68984852</v>
      </c>
      <c r="T131" s="18">
        <v>109.16121683999999</v>
      </c>
      <c r="U131" s="19">
        <v>-8.6999999999999994E-3</v>
      </c>
      <c r="V131" s="19">
        <v>7.0599999999999996E-2</v>
      </c>
      <c r="W131" s="19">
        <v>2.76E-2</v>
      </c>
      <c r="X131" s="19" t="s">
        <v>26</v>
      </c>
      <c r="Y131" s="19" t="s">
        <v>26</v>
      </c>
      <c r="Z131" s="19" t="s">
        <v>26</v>
      </c>
      <c r="AA131" s="20">
        <v>0</v>
      </c>
      <c r="AB131" s="21">
        <f>IFERROR(AVERAGE($V131:$Z131),"")</f>
        <v>4.9099999999999998E-2</v>
      </c>
      <c r="AC131" s="21">
        <f>IFERROR(_xlfn.STDEV.P($V131:$Z131),"")</f>
        <v>2.1499999999999998E-2</v>
      </c>
    </row>
    <row r="132" spans="1:29" ht="14.25" customHeight="1" x14ac:dyDescent="0.3">
      <c r="A132" s="14" t="s">
        <v>208</v>
      </c>
      <c r="B132" s="15" t="s">
        <v>205</v>
      </c>
      <c r="C132" s="14" t="s">
        <v>28</v>
      </c>
      <c r="D132" s="14" t="s">
        <v>78</v>
      </c>
      <c r="E132" s="14" t="s">
        <v>93</v>
      </c>
      <c r="F132" s="14" t="s">
        <v>94</v>
      </c>
      <c r="G132" s="14" t="s">
        <v>29</v>
      </c>
      <c r="H132" s="14" t="s">
        <v>44</v>
      </c>
      <c r="I132" s="14" t="s">
        <v>45</v>
      </c>
      <c r="J132" s="14" t="s">
        <v>46</v>
      </c>
      <c r="K132" s="16">
        <v>0.01</v>
      </c>
      <c r="L132" s="17">
        <v>44537</v>
      </c>
      <c r="M132" s="18">
        <v>140.31686526999999</v>
      </c>
      <c r="N132" s="18">
        <v>142.20896087</v>
      </c>
      <c r="O132" s="18">
        <v>140.87618538999999</v>
      </c>
      <c r="P132" s="18">
        <v>133.72986184999999</v>
      </c>
      <c r="Q132" s="18">
        <v>147.50845580999999</v>
      </c>
      <c r="R132" s="18">
        <v>155.04595889000001</v>
      </c>
      <c r="S132" s="18">
        <v>153.17426947000001</v>
      </c>
      <c r="T132" s="18">
        <v>153.07642792999999</v>
      </c>
      <c r="U132" s="19">
        <v>9.0899999999999995E-2</v>
      </c>
      <c r="V132" s="19">
        <v>0.15260000000000001</v>
      </c>
      <c r="W132" s="19">
        <v>0.18529999999999999</v>
      </c>
      <c r="X132" s="19">
        <v>0.15110000000000001</v>
      </c>
      <c r="Y132" s="19">
        <v>-0.128</v>
      </c>
      <c r="Z132" s="19">
        <v>1.83E-2</v>
      </c>
      <c r="AA132" s="20">
        <v>243275489.52000001</v>
      </c>
      <c r="AB132" s="21">
        <f>IFERROR(AVERAGE($V132:$Z132),"")</f>
        <v>7.5859999999999997E-2</v>
      </c>
      <c r="AC132" s="21">
        <f>IFERROR(_xlfn.STDEV.P($V132:$Z132),"")</f>
        <v>0.11696089260945303</v>
      </c>
    </row>
    <row r="133" spans="1:29" ht="14.25" customHeight="1" x14ac:dyDescent="0.3">
      <c r="A133" s="14" t="s">
        <v>209</v>
      </c>
      <c r="B133" s="15" t="s">
        <v>205</v>
      </c>
      <c r="C133" s="14" t="s">
        <v>28</v>
      </c>
      <c r="D133" s="14" t="s">
        <v>78</v>
      </c>
      <c r="E133" s="14" t="s">
        <v>93</v>
      </c>
      <c r="F133" s="14" t="s">
        <v>94</v>
      </c>
      <c r="G133" s="14" t="s">
        <v>29</v>
      </c>
      <c r="H133" s="14" t="s">
        <v>54</v>
      </c>
      <c r="I133" s="14" t="s">
        <v>45</v>
      </c>
      <c r="J133" s="14" t="s">
        <v>88</v>
      </c>
      <c r="K133" s="16">
        <v>8.5000000000000006E-3</v>
      </c>
      <c r="L133" s="17">
        <v>44196</v>
      </c>
      <c r="M133" s="18">
        <v>125.93148239</v>
      </c>
      <c r="N133" s="18">
        <v>128.17330523999999</v>
      </c>
      <c r="O133" s="18">
        <v>129.89413146000001</v>
      </c>
      <c r="P133" s="18">
        <v>125.3552107</v>
      </c>
      <c r="Q133" s="18">
        <v>129.53953648999999</v>
      </c>
      <c r="R133" s="18">
        <v>131.51073412</v>
      </c>
      <c r="S133" s="18">
        <v>130.88050612999999</v>
      </c>
      <c r="T133" s="18">
        <v>130.07771208</v>
      </c>
      <c r="U133" s="19">
        <v>3.2899999999999999E-2</v>
      </c>
      <c r="V133" s="19">
        <v>0.1188</v>
      </c>
      <c r="W133" s="19">
        <v>8.7900000000000006E-2</v>
      </c>
      <c r="X133" s="19">
        <v>8.2900000000000001E-2</v>
      </c>
      <c r="Y133" s="19">
        <v>-8.8099999999999998E-2</v>
      </c>
      <c r="Z133" s="19">
        <v>4.7199999999999999E-2</v>
      </c>
      <c r="AA133" s="20">
        <v>134693775.47999999</v>
      </c>
      <c r="AB133" s="21">
        <f>IFERROR(AVERAGE($V133:$Z133),"")</f>
        <v>4.9739999999999993E-2</v>
      </c>
      <c r="AC133" s="21">
        <f>IFERROR(_xlfn.STDEV.P($V133:$Z133),"")</f>
        <v>7.2569100862557204E-2</v>
      </c>
    </row>
    <row r="134" spans="1:29" ht="14.25" customHeight="1" x14ac:dyDescent="0.3">
      <c r="A134" s="14" t="s">
        <v>210</v>
      </c>
      <c r="B134" s="15" t="s">
        <v>211</v>
      </c>
      <c r="C134" s="14" t="s">
        <v>18</v>
      </c>
      <c r="D134" s="14" t="s">
        <v>34</v>
      </c>
      <c r="E134" s="14" t="s">
        <v>20</v>
      </c>
      <c r="F134" s="14" t="s">
        <v>21</v>
      </c>
      <c r="G134" s="14" t="s">
        <v>22</v>
      </c>
      <c r="H134" s="14" t="s">
        <v>23</v>
      </c>
      <c r="I134" s="14" t="s">
        <v>24</v>
      </c>
      <c r="J134" s="14" t="s">
        <v>184</v>
      </c>
      <c r="K134" s="16">
        <v>7.0000000000000001E-3</v>
      </c>
      <c r="L134" s="17">
        <v>42131</v>
      </c>
      <c r="M134" s="18">
        <v>143.1266</v>
      </c>
      <c r="N134" s="18">
        <v>143.63810000000001</v>
      </c>
      <c r="O134" s="18">
        <v>143.99780000000001</v>
      </c>
      <c r="P134" s="18">
        <v>144.40479999999999</v>
      </c>
      <c r="Q134" s="18">
        <v>144.8579</v>
      </c>
      <c r="R134" s="18">
        <v>145.29900000000001</v>
      </c>
      <c r="S134" s="18">
        <v>145.76230000000001</v>
      </c>
      <c r="T134" s="18">
        <v>146.21940000000001</v>
      </c>
      <c r="U134" s="19">
        <v>2.1600000000000001E-2</v>
      </c>
      <c r="V134" s="19">
        <v>3.9E-2</v>
      </c>
      <c r="W134" s="19">
        <v>5.0799999999999998E-2</v>
      </c>
      <c r="X134" s="19">
        <v>6.54E-2</v>
      </c>
      <c r="Y134" s="19">
        <v>4.07E-2</v>
      </c>
      <c r="Z134" s="19">
        <v>6.4000000000000003E-3</v>
      </c>
      <c r="AA134" s="20">
        <v>0</v>
      </c>
      <c r="AB134" s="21">
        <f>IFERROR(AVERAGE($V134:$Z134),"")</f>
        <v>4.0460000000000003E-2</v>
      </c>
      <c r="AC134" s="21">
        <f>IFERROR(_xlfn.STDEV.P($V134:$Z134),"")</f>
        <v>1.9448352115282157E-2</v>
      </c>
    </row>
    <row r="135" spans="1:29" ht="14.25" customHeight="1" x14ac:dyDescent="0.3">
      <c r="A135" s="14" t="s">
        <v>212</v>
      </c>
      <c r="B135" s="15" t="s">
        <v>211</v>
      </c>
      <c r="C135" s="14" t="s">
        <v>18</v>
      </c>
      <c r="D135" s="14" t="s">
        <v>34</v>
      </c>
      <c r="E135" s="14" t="s">
        <v>20</v>
      </c>
      <c r="F135" s="14" t="s">
        <v>21</v>
      </c>
      <c r="G135" s="14" t="s">
        <v>22</v>
      </c>
      <c r="H135" s="14" t="s">
        <v>23</v>
      </c>
      <c r="I135" s="14" t="s">
        <v>24</v>
      </c>
      <c r="J135" s="14" t="s">
        <v>184</v>
      </c>
      <c r="K135" s="16">
        <v>8.5000000000000006E-3</v>
      </c>
      <c r="L135" s="17">
        <v>42131</v>
      </c>
      <c r="M135" s="18">
        <v>142.02930000000001</v>
      </c>
      <c r="N135" s="18">
        <v>142.5154</v>
      </c>
      <c r="O135" s="18">
        <v>142.8528</v>
      </c>
      <c r="P135" s="18">
        <v>143.23509999999999</v>
      </c>
      <c r="Q135" s="18">
        <v>143.66319999999999</v>
      </c>
      <c r="R135" s="18">
        <v>144.07939999999999</v>
      </c>
      <c r="S135" s="18">
        <v>144.517</v>
      </c>
      <c r="T135" s="18">
        <v>144.9477</v>
      </c>
      <c r="U135" s="19">
        <v>2.0500000000000001E-2</v>
      </c>
      <c r="V135" s="19">
        <v>3.7199999999999997E-2</v>
      </c>
      <c r="W135" s="19">
        <v>4.9000000000000002E-2</v>
      </c>
      <c r="X135" s="19">
        <v>6.3899999999999998E-2</v>
      </c>
      <c r="Y135" s="19">
        <v>3.95E-2</v>
      </c>
      <c r="Z135" s="19">
        <v>5.1999999999999998E-3</v>
      </c>
      <c r="AA135" s="20">
        <v>0</v>
      </c>
      <c r="AB135" s="21">
        <f>IFERROR(AVERAGE($V135:$Z135),"")</f>
        <v>3.8960000000000009E-2</v>
      </c>
      <c r="AC135" s="21">
        <f>IFERROR(_xlfn.STDEV.P($V135:$Z135),"")</f>
        <v>1.9318033026164954E-2</v>
      </c>
    </row>
    <row r="136" spans="1:29" ht="14.25" customHeight="1" x14ac:dyDescent="0.3">
      <c r="A136" s="14" t="s">
        <v>213</v>
      </c>
      <c r="B136" s="15" t="s">
        <v>211</v>
      </c>
      <c r="C136" s="14" t="s">
        <v>28</v>
      </c>
      <c r="D136" s="14" t="s">
        <v>34</v>
      </c>
      <c r="E136" s="14" t="s">
        <v>20</v>
      </c>
      <c r="F136" s="14" t="s">
        <v>21</v>
      </c>
      <c r="G136" s="14" t="s">
        <v>22</v>
      </c>
      <c r="H136" s="14" t="s">
        <v>23</v>
      </c>
      <c r="I136" s="14" t="s">
        <v>24</v>
      </c>
      <c r="J136" s="14" t="s">
        <v>39</v>
      </c>
      <c r="K136" s="16">
        <v>5.7999999999999996E-3</v>
      </c>
      <c r="L136" s="17">
        <v>42192</v>
      </c>
      <c r="M136" s="18">
        <v>123.80410000000001</v>
      </c>
      <c r="N136" s="18">
        <v>124.1763</v>
      </c>
      <c r="O136" s="18">
        <v>124.51009999999999</v>
      </c>
      <c r="P136" s="18">
        <v>124.86620000000001</v>
      </c>
      <c r="Q136" s="18">
        <v>125.21810000000001</v>
      </c>
      <c r="R136" s="18">
        <v>125.5595</v>
      </c>
      <c r="S136" s="18">
        <v>125.91079999999999</v>
      </c>
      <c r="T136" s="18">
        <v>126.2667</v>
      </c>
      <c r="U136" s="19">
        <v>1.9900000000000001E-2</v>
      </c>
      <c r="V136" s="19">
        <v>3.9699999999999999E-2</v>
      </c>
      <c r="W136" s="19" t="s">
        <v>26</v>
      </c>
      <c r="X136" s="19" t="s">
        <v>26</v>
      </c>
      <c r="Y136" s="19" t="s">
        <v>26</v>
      </c>
      <c r="Z136" s="19" t="s">
        <v>26</v>
      </c>
      <c r="AA136" s="20">
        <v>0</v>
      </c>
      <c r="AB136" s="21">
        <f>IFERROR(AVERAGE($V136:$Z136),"")</f>
        <v>3.9699999999999999E-2</v>
      </c>
      <c r="AC136" s="21">
        <f>IFERROR(_xlfn.STDEV.P($V136:$Z136),"")</f>
        <v>0</v>
      </c>
    </row>
    <row r="137" spans="1:29" ht="14.25" customHeight="1" x14ac:dyDescent="0.3">
      <c r="A137" s="14" t="s">
        <v>214</v>
      </c>
      <c r="B137" s="15" t="s">
        <v>211</v>
      </c>
      <c r="C137" s="14" t="s">
        <v>28</v>
      </c>
      <c r="D137" s="14" t="s">
        <v>34</v>
      </c>
      <c r="E137" s="14" t="s">
        <v>20</v>
      </c>
      <c r="F137" s="14" t="s">
        <v>21</v>
      </c>
      <c r="G137" s="14" t="s">
        <v>22</v>
      </c>
      <c r="H137" s="14" t="s">
        <v>23</v>
      </c>
      <c r="I137" s="14" t="s">
        <v>24</v>
      </c>
      <c r="J137" s="14" t="s">
        <v>39</v>
      </c>
      <c r="K137" s="16">
        <v>6.0000000000000001E-3</v>
      </c>
      <c r="L137" s="17">
        <v>42192</v>
      </c>
      <c r="M137" s="18">
        <v>123.7578</v>
      </c>
      <c r="N137" s="18">
        <v>124.12730000000001</v>
      </c>
      <c r="O137" s="18">
        <v>124.4585</v>
      </c>
      <c r="P137" s="18">
        <v>124.812</v>
      </c>
      <c r="Q137" s="18">
        <v>125.16119999999999</v>
      </c>
      <c r="R137" s="18">
        <v>125.4999</v>
      </c>
      <c r="S137" s="18">
        <v>125.8486</v>
      </c>
      <c r="T137" s="18">
        <v>126.2017</v>
      </c>
      <c r="U137" s="19">
        <v>1.9699999999999999E-2</v>
      </c>
      <c r="V137" s="19">
        <v>3.95E-2</v>
      </c>
      <c r="W137" s="19" t="s">
        <v>26</v>
      </c>
      <c r="X137" s="19" t="s">
        <v>26</v>
      </c>
      <c r="Y137" s="19" t="s">
        <v>26</v>
      </c>
      <c r="Z137" s="19" t="s">
        <v>26</v>
      </c>
      <c r="AA137" s="20">
        <v>0</v>
      </c>
      <c r="AB137" s="21">
        <f>IFERROR(AVERAGE($V137:$Z137),"")</f>
        <v>3.95E-2</v>
      </c>
      <c r="AC137" s="21">
        <f>IFERROR(_xlfn.STDEV.P($V137:$Z137),"")</f>
        <v>0</v>
      </c>
    </row>
    <row r="138" spans="1:29" ht="14.25" customHeight="1" x14ac:dyDescent="0.3">
      <c r="A138" s="14" t="s">
        <v>215</v>
      </c>
      <c r="B138" s="15" t="s">
        <v>211</v>
      </c>
      <c r="C138" s="14" t="s">
        <v>28</v>
      </c>
      <c r="D138" s="14" t="s">
        <v>34</v>
      </c>
      <c r="E138" s="14" t="s">
        <v>20</v>
      </c>
      <c r="F138" s="14" t="s">
        <v>21</v>
      </c>
      <c r="G138" s="14" t="s">
        <v>22</v>
      </c>
      <c r="H138" s="14" t="s">
        <v>23</v>
      </c>
      <c r="I138" s="14" t="s">
        <v>24</v>
      </c>
      <c r="J138" s="14" t="s">
        <v>39</v>
      </c>
      <c r="K138" s="16">
        <v>6.1999999999999998E-3</v>
      </c>
      <c r="L138" s="17">
        <v>42192</v>
      </c>
      <c r="M138" s="18">
        <v>123.7129</v>
      </c>
      <c r="N138" s="18">
        <v>124.07980000000001</v>
      </c>
      <c r="O138" s="18">
        <v>124.4084</v>
      </c>
      <c r="P138" s="18">
        <v>124.75920000000001</v>
      </c>
      <c r="Q138" s="18">
        <v>125.1062</v>
      </c>
      <c r="R138" s="18">
        <v>125.4425</v>
      </c>
      <c r="S138" s="18">
        <v>125.7885</v>
      </c>
      <c r="T138" s="18">
        <v>126.13939999999999</v>
      </c>
      <c r="U138" s="19">
        <v>1.9599999999999999E-2</v>
      </c>
      <c r="V138" s="19">
        <v>3.9300000000000002E-2</v>
      </c>
      <c r="W138" s="19" t="s">
        <v>26</v>
      </c>
      <c r="X138" s="19" t="s">
        <v>26</v>
      </c>
      <c r="Y138" s="19" t="s">
        <v>26</v>
      </c>
      <c r="Z138" s="19" t="s">
        <v>26</v>
      </c>
      <c r="AA138" s="20">
        <v>0</v>
      </c>
      <c r="AB138" s="21">
        <f>IFERROR(AVERAGE($V138:$Z138),"")</f>
        <v>3.9300000000000002E-2</v>
      </c>
      <c r="AC138" s="21">
        <f>IFERROR(_xlfn.STDEV.P($V138:$Z138),"")</f>
        <v>0</v>
      </c>
    </row>
    <row r="139" spans="1:29" ht="14.25" customHeight="1" x14ac:dyDescent="0.3">
      <c r="A139" s="14" t="s">
        <v>216</v>
      </c>
      <c r="B139" s="15" t="s">
        <v>211</v>
      </c>
      <c r="C139" s="14" t="s">
        <v>18</v>
      </c>
      <c r="D139" s="14" t="s">
        <v>34</v>
      </c>
      <c r="E139" s="14" t="s">
        <v>20</v>
      </c>
      <c r="F139" s="14" t="s">
        <v>21</v>
      </c>
      <c r="G139" s="14" t="s">
        <v>22</v>
      </c>
      <c r="H139" s="14" t="s">
        <v>23</v>
      </c>
      <c r="I139" s="14" t="s">
        <v>24</v>
      </c>
      <c r="J139" s="14" t="s">
        <v>184</v>
      </c>
      <c r="K139" s="16">
        <v>8.0000000000000002E-3</v>
      </c>
      <c r="L139" s="17">
        <v>42131</v>
      </c>
      <c r="M139" s="18">
        <v>142.1636</v>
      </c>
      <c r="N139" s="18">
        <v>142.65729999999999</v>
      </c>
      <c r="O139" s="18">
        <v>143.0018</v>
      </c>
      <c r="P139" s="18">
        <v>143.39169999999999</v>
      </c>
      <c r="Q139" s="18">
        <v>143.82740000000001</v>
      </c>
      <c r="R139" s="18">
        <v>144.2508</v>
      </c>
      <c r="S139" s="18">
        <v>144.69589999999999</v>
      </c>
      <c r="T139" s="18">
        <v>145.13489999999999</v>
      </c>
      <c r="U139" s="19">
        <v>2.0899999999999998E-2</v>
      </c>
      <c r="V139" s="19">
        <v>3.78E-2</v>
      </c>
      <c r="W139" s="19" t="s">
        <v>26</v>
      </c>
      <c r="X139" s="19" t="s">
        <v>26</v>
      </c>
      <c r="Y139" s="19" t="s">
        <v>26</v>
      </c>
      <c r="Z139" s="19" t="s">
        <v>26</v>
      </c>
      <c r="AA139" s="20">
        <v>0</v>
      </c>
      <c r="AB139" s="21">
        <f>IFERROR(AVERAGE($V139:$Z139),"")</f>
        <v>3.78E-2</v>
      </c>
      <c r="AC139" s="21">
        <f>IFERROR(_xlfn.STDEV.P($V139:$Z139),"")</f>
        <v>0</v>
      </c>
    </row>
    <row r="140" spans="1:29" ht="14.25" customHeight="1" x14ac:dyDescent="0.3">
      <c r="A140" s="14" t="s">
        <v>217</v>
      </c>
      <c r="B140" s="15" t="s">
        <v>211</v>
      </c>
      <c r="C140" s="14" t="s">
        <v>28</v>
      </c>
      <c r="D140" s="14" t="s">
        <v>41</v>
      </c>
      <c r="E140" s="14" t="s">
        <v>71</v>
      </c>
      <c r="F140" s="14" t="s">
        <v>43</v>
      </c>
      <c r="G140" s="14" t="s">
        <v>66</v>
      </c>
      <c r="H140" s="14" t="s">
        <v>44</v>
      </c>
      <c r="I140" s="14" t="s">
        <v>45</v>
      </c>
      <c r="J140" s="14" t="s">
        <v>46</v>
      </c>
      <c r="K140" s="16">
        <v>1.4999999999999999E-2</v>
      </c>
      <c r="L140" s="17">
        <v>44896</v>
      </c>
      <c r="M140" s="18">
        <v>78.616600000000005</v>
      </c>
      <c r="N140" s="18">
        <v>79.546199999999999</v>
      </c>
      <c r="O140" s="18">
        <v>78.561199999999999</v>
      </c>
      <c r="P140" s="18">
        <v>74.411000000000001</v>
      </c>
      <c r="Q140" s="18">
        <v>81.696200000000005</v>
      </c>
      <c r="R140" s="18">
        <v>85.652299999999997</v>
      </c>
      <c r="S140" s="18">
        <v>84.774500000000003</v>
      </c>
      <c r="T140" s="18">
        <v>84.023099999999999</v>
      </c>
      <c r="U140" s="19">
        <v>6.88E-2</v>
      </c>
      <c r="V140" s="19">
        <v>0.1389</v>
      </c>
      <c r="W140" s="19">
        <v>0.18690000000000001</v>
      </c>
      <c r="X140" s="19">
        <v>0.2165</v>
      </c>
      <c r="Y140" s="19">
        <v>-5.1999999999999998E-2</v>
      </c>
      <c r="Z140" s="19" t="s">
        <v>26</v>
      </c>
      <c r="AA140" s="20">
        <v>58780076.060000002</v>
      </c>
      <c r="AB140" s="21">
        <f>IFERROR(AVERAGE($V140:$Z140),"")</f>
        <v>0.122575</v>
      </c>
      <c r="AC140" s="21">
        <f>IFERROR(_xlfn.STDEV.P($V140:$Z140),"")</f>
        <v>0.10452577134372174</v>
      </c>
    </row>
    <row r="141" spans="1:29" ht="14.25" customHeight="1" x14ac:dyDescent="0.3">
      <c r="A141" s="14" t="s">
        <v>218</v>
      </c>
      <c r="B141" s="15" t="s">
        <v>211</v>
      </c>
      <c r="C141" s="14" t="s">
        <v>18</v>
      </c>
      <c r="D141" s="14" t="s">
        <v>41</v>
      </c>
      <c r="E141" s="14" t="s">
        <v>71</v>
      </c>
      <c r="F141" s="14" t="s">
        <v>43</v>
      </c>
      <c r="G141" s="14" t="s">
        <v>22</v>
      </c>
      <c r="H141" s="14" t="s">
        <v>44</v>
      </c>
      <c r="I141" s="14" t="s">
        <v>24</v>
      </c>
      <c r="J141" s="14" t="s">
        <v>102</v>
      </c>
      <c r="K141" s="16">
        <v>0.02</v>
      </c>
      <c r="L141" s="17">
        <v>39101</v>
      </c>
      <c r="M141" s="18">
        <v>143.21619999999999</v>
      </c>
      <c r="N141" s="18">
        <v>167.72280000000001</v>
      </c>
      <c r="O141" s="18">
        <v>178.12700000000001</v>
      </c>
      <c r="P141" s="18">
        <v>167.7432</v>
      </c>
      <c r="Q141" s="18">
        <v>163.03</v>
      </c>
      <c r="R141" s="18">
        <v>170.29929999999999</v>
      </c>
      <c r="S141" s="18">
        <v>173.00829999999999</v>
      </c>
      <c r="T141" s="18">
        <v>177.1319</v>
      </c>
      <c r="U141" s="19">
        <v>0.23680000000000001</v>
      </c>
      <c r="V141" s="19">
        <v>0.33950000000000002</v>
      </c>
      <c r="W141" s="19">
        <v>5.9799999999999999E-2</v>
      </c>
      <c r="X141" s="19">
        <v>0.13980000000000001</v>
      </c>
      <c r="Y141" s="19">
        <v>-7.4300000000000005E-2</v>
      </c>
      <c r="Z141" s="19">
        <v>7.4999999999999997E-2</v>
      </c>
      <c r="AA141" s="20">
        <v>56472901.590000004</v>
      </c>
      <c r="AB141" s="21">
        <f>IFERROR(AVERAGE($V141:$Z141),"")</f>
        <v>0.10795999999999999</v>
      </c>
      <c r="AC141" s="21">
        <f>IFERROR(_xlfn.STDEV.P($V141:$Z141),"")</f>
        <v>0.13509182950867163</v>
      </c>
    </row>
    <row r="142" spans="1:29" ht="14.25" customHeight="1" x14ac:dyDescent="0.3">
      <c r="A142" s="14" t="s">
        <v>219</v>
      </c>
      <c r="B142" s="15" t="s">
        <v>211</v>
      </c>
      <c r="C142" s="14" t="s">
        <v>28</v>
      </c>
      <c r="D142" s="14" t="s">
        <v>41</v>
      </c>
      <c r="E142" s="14" t="s">
        <v>71</v>
      </c>
      <c r="F142" s="14" t="s">
        <v>43</v>
      </c>
      <c r="G142" s="14" t="s">
        <v>29</v>
      </c>
      <c r="H142" s="14" t="s">
        <v>44</v>
      </c>
      <c r="I142" s="14" t="s">
        <v>45</v>
      </c>
      <c r="J142" s="14" t="s">
        <v>46</v>
      </c>
      <c r="K142" s="16">
        <v>0.01</v>
      </c>
      <c r="L142" s="17">
        <v>44281</v>
      </c>
      <c r="M142" s="18">
        <v>67.415999999999997</v>
      </c>
      <c r="N142" s="18">
        <v>69.027299999999997</v>
      </c>
      <c r="O142" s="18">
        <v>68.374200000000002</v>
      </c>
      <c r="P142" s="18">
        <v>61.098799999999997</v>
      </c>
      <c r="Q142" s="18">
        <v>67.045100000000005</v>
      </c>
      <c r="R142" s="18">
        <v>69.895499999999998</v>
      </c>
      <c r="S142" s="18">
        <v>70.2864</v>
      </c>
      <c r="T142" s="18">
        <v>70.489000000000004</v>
      </c>
      <c r="U142" s="19">
        <v>4.5600000000000002E-2</v>
      </c>
      <c r="V142" s="19">
        <v>0.15770000000000001</v>
      </c>
      <c r="W142" s="19">
        <v>0.2084</v>
      </c>
      <c r="X142" s="19">
        <v>0.21479999999999999</v>
      </c>
      <c r="Y142" s="19">
        <v>-0.27439999999999998</v>
      </c>
      <c r="Z142" s="19">
        <v>8.9700000000000002E-2</v>
      </c>
      <c r="AA142" s="20">
        <v>25315542.600000001</v>
      </c>
      <c r="AB142" s="21">
        <f>IFERROR(AVERAGE($V142:$Z142),"")</f>
        <v>7.9240000000000005E-2</v>
      </c>
      <c r="AC142" s="21">
        <f>IFERROR(_xlfn.STDEV.P($V142:$Z142),"")</f>
        <v>0.1824200931915122</v>
      </c>
    </row>
    <row r="143" spans="1:29" ht="14.25" customHeight="1" x14ac:dyDescent="0.3">
      <c r="A143" s="14" t="s">
        <v>220</v>
      </c>
      <c r="B143" s="15" t="s">
        <v>211</v>
      </c>
      <c r="C143" s="14" t="s">
        <v>28</v>
      </c>
      <c r="D143" s="14" t="s">
        <v>41</v>
      </c>
      <c r="E143" s="14" t="s">
        <v>71</v>
      </c>
      <c r="F143" s="14" t="s">
        <v>43</v>
      </c>
      <c r="G143" s="14" t="s">
        <v>29</v>
      </c>
      <c r="H143" s="14" t="s">
        <v>44</v>
      </c>
      <c r="I143" s="14" t="s">
        <v>24</v>
      </c>
      <c r="J143" s="14" t="s">
        <v>88</v>
      </c>
      <c r="K143" s="16">
        <v>1.4999999999999999E-2</v>
      </c>
      <c r="L143" s="17">
        <v>42030</v>
      </c>
      <c r="M143" s="18">
        <v>81.242500000000007</v>
      </c>
      <c r="N143" s="18">
        <v>82.620599999999996</v>
      </c>
      <c r="O143" s="18">
        <v>83.689700000000002</v>
      </c>
      <c r="P143" s="18">
        <v>76.687899999999999</v>
      </c>
      <c r="Q143" s="18">
        <v>83.7376</v>
      </c>
      <c r="R143" s="18">
        <v>87.866900000000001</v>
      </c>
      <c r="S143" s="18">
        <v>88.549599999999998</v>
      </c>
      <c r="T143" s="18">
        <v>86.057000000000002</v>
      </c>
      <c r="U143" s="19">
        <v>5.9299999999999999E-2</v>
      </c>
      <c r="V143" s="19">
        <v>0.1613</v>
      </c>
      <c r="W143" s="19">
        <v>0.1061</v>
      </c>
      <c r="X143" s="19">
        <v>0.14050000000000001</v>
      </c>
      <c r="Y143" s="19">
        <v>-0.20280000000000001</v>
      </c>
      <c r="Z143" s="19">
        <v>0.11749999999999999</v>
      </c>
      <c r="AA143" s="20">
        <v>39499500.740000002</v>
      </c>
      <c r="AB143" s="21">
        <f>IFERROR(AVERAGE($V143:$Z143),"")</f>
        <v>6.4519999999999994E-2</v>
      </c>
      <c r="AC143" s="21">
        <f>IFERROR(_xlfn.STDEV.P($V143:$Z143),"")</f>
        <v>0.13500747238579056</v>
      </c>
    </row>
    <row r="144" spans="1:29" ht="14.25" customHeight="1" x14ac:dyDescent="0.3">
      <c r="A144" s="14" t="s">
        <v>221</v>
      </c>
      <c r="B144" s="15" t="s">
        <v>211</v>
      </c>
      <c r="C144" s="14" t="s">
        <v>28</v>
      </c>
      <c r="D144" s="14" t="s">
        <v>41</v>
      </c>
      <c r="E144" s="14" t="s">
        <v>71</v>
      </c>
      <c r="F144" s="14" t="s">
        <v>43</v>
      </c>
      <c r="G144" s="14" t="s">
        <v>59</v>
      </c>
      <c r="H144" s="14" t="s">
        <v>44</v>
      </c>
      <c r="I144" s="14" t="s">
        <v>45</v>
      </c>
      <c r="J144" s="14" t="s">
        <v>46</v>
      </c>
      <c r="K144" s="16">
        <v>0.01</v>
      </c>
      <c r="L144" s="17">
        <v>45953</v>
      </c>
      <c r="M144" s="18">
        <v>51.4238</v>
      </c>
      <c r="N144" s="18">
        <v>52.354799999999997</v>
      </c>
      <c r="O144" s="18">
        <v>53.519599999999997</v>
      </c>
      <c r="P144" s="18">
        <v>52.401600000000002</v>
      </c>
      <c r="Q144" s="18">
        <v>53.198300000000003</v>
      </c>
      <c r="R144" s="18">
        <v>53.358600000000003</v>
      </c>
      <c r="S144" s="18">
        <v>54.032899999999998</v>
      </c>
      <c r="T144" s="18">
        <v>54.190800000000003</v>
      </c>
      <c r="U144" s="19">
        <v>5.3800000000000001E-2</v>
      </c>
      <c r="V144" s="19">
        <v>2.7300000000000001E-2</v>
      </c>
      <c r="W144" s="19" t="s">
        <v>26</v>
      </c>
      <c r="X144" s="19" t="s">
        <v>26</v>
      </c>
      <c r="Y144" s="19" t="s">
        <v>26</v>
      </c>
      <c r="Z144" s="19" t="s">
        <v>26</v>
      </c>
      <c r="AA144" s="20">
        <v>8936641.3000000007</v>
      </c>
      <c r="AB144" s="21">
        <f>IFERROR(AVERAGE($V144:$Z144),"")</f>
        <v>2.7300000000000001E-2</v>
      </c>
      <c r="AC144" s="21">
        <f>IFERROR(_xlfn.STDEV.P($V144:$Z144),"")</f>
        <v>0</v>
      </c>
    </row>
    <row r="145" spans="1:29" ht="14.25" customHeight="1" x14ac:dyDescent="0.3">
      <c r="A145" s="14" t="s">
        <v>222</v>
      </c>
      <c r="B145" s="15" t="s">
        <v>211</v>
      </c>
      <c r="C145" s="14" t="s">
        <v>28</v>
      </c>
      <c r="D145" s="14" t="s">
        <v>41</v>
      </c>
      <c r="E145" s="14" t="s">
        <v>71</v>
      </c>
      <c r="F145" s="14" t="s">
        <v>43</v>
      </c>
      <c r="G145" s="14" t="s">
        <v>29</v>
      </c>
      <c r="H145" s="14" t="s">
        <v>44</v>
      </c>
      <c r="I145" s="14" t="s">
        <v>45</v>
      </c>
      <c r="J145" s="14" t="s">
        <v>46</v>
      </c>
      <c r="K145" s="16">
        <v>0.01</v>
      </c>
      <c r="L145" s="17">
        <v>43817</v>
      </c>
      <c r="M145" s="18">
        <v>53.740400000000001</v>
      </c>
      <c r="N145" s="18">
        <v>53.910600000000002</v>
      </c>
      <c r="O145" s="18">
        <v>54.361400000000003</v>
      </c>
      <c r="P145" s="18">
        <v>52.902200000000001</v>
      </c>
      <c r="Q145" s="18">
        <v>53.695099999999996</v>
      </c>
      <c r="R145" s="18">
        <v>54.051900000000003</v>
      </c>
      <c r="S145" s="18">
        <v>54.455100000000002</v>
      </c>
      <c r="T145" s="18">
        <v>53.9221</v>
      </c>
      <c r="U145" s="19">
        <v>3.3999999999999998E-3</v>
      </c>
      <c r="V145" s="19">
        <v>6.6799999999999998E-2</v>
      </c>
      <c r="W145" s="19">
        <v>3.4500000000000003E-2</v>
      </c>
      <c r="X145" s="19">
        <v>3.85E-2</v>
      </c>
      <c r="Y145" s="19">
        <v>-9.01E-2</v>
      </c>
      <c r="Z145" s="19">
        <v>-6.8999999999999999E-3</v>
      </c>
      <c r="AA145" s="20">
        <v>11554282.07</v>
      </c>
      <c r="AB145" s="21">
        <f>IFERROR(AVERAGE($V145:$Z145),"")</f>
        <v>8.5600000000000016E-3</v>
      </c>
      <c r="AC145" s="21">
        <f>IFERROR(_xlfn.STDEV.P($V145:$Z145),"")</f>
        <v>5.4651609308418357E-2</v>
      </c>
    </row>
    <row r="146" spans="1:29" ht="14.25" customHeight="1" x14ac:dyDescent="0.3">
      <c r="A146" s="14" t="s">
        <v>223</v>
      </c>
      <c r="B146" s="15" t="s">
        <v>211</v>
      </c>
      <c r="C146" s="14" t="s">
        <v>28</v>
      </c>
      <c r="D146" s="14" t="s">
        <v>41</v>
      </c>
      <c r="E146" s="14" t="s">
        <v>71</v>
      </c>
      <c r="F146" s="14" t="s">
        <v>43</v>
      </c>
      <c r="G146" s="14" t="s">
        <v>22</v>
      </c>
      <c r="H146" s="14" t="s">
        <v>44</v>
      </c>
      <c r="I146" s="14" t="s">
        <v>45</v>
      </c>
      <c r="J146" s="14" t="s">
        <v>39</v>
      </c>
      <c r="K146" s="16">
        <v>1.2E-2</v>
      </c>
      <c r="L146" s="17">
        <v>42985</v>
      </c>
      <c r="M146" s="18">
        <v>51.026499999999999</v>
      </c>
      <c r="N146" s="18">
        <v>51.157699999999998</v>
      </c>
      <c r="O146" s="18">
        <v>51.5227</v>
      </c>
      <c r="P146" s="18">
        <v>50.6798</v>
      </c>
      <c r="Q146" s="18">
        <v>51.322699999999998</v>
      </c>
      <c r="R146" s="18">
        <v>51.176900000000003</v>
      </c>
      <c r="S146" s="18">
        <v>51.414900000000003</v>
      </c>
      <c r="T146" s="18">
        <v>51.086199999999998</v>
      </c>
      <c r="U146" s="19">
        <v>1.1999999999999999E-3</v>
      </c>
      <c r="V146" s="19">
        <v>7.9600000000000004E-2</v>
      </c>
      <c r="W146" s="19">
        <v>4.2799999999999998E-2</v>
      </c>
      <c r="X146" s="19">
        <v>5.1900000000000002E-2</v>
      </c>
      <c r="Y146" s="19">
        <v>-0.12989999999999999</v>
      </c>
      <c r="Z146" s="19">
        <v>-4.8099999999999997E-2</v>
      </c>
      <c r="AA146" s="20">
        <v>10702833.34</v>
      </c>
      <c r="AB146" s="21">
        <f>IFERROR(AVERAGE($V146:$Z146),"")</f>
        <v>-7.3999999999999479E-4</v>
      </c>
      <c r="AC146" s="21">
        <f>IFERROR(_xlfn.STDEV.P($V146:$Z146),"")</f>
        <v>7.7519664601957611E-2</v>
      </c>
    </row>
    <row r="147" spans="1:29" ht="14.25" customHeight="1" x14ac:dyDescent="0.3">
      <c r="A147" s="14" t="s">
        <v>224</v>
      </c>
      <c r="B147" s="15" t="s">
        <v>211</v>
      </c>
      <c r="C147" s="14" t="s">
        <v>28</v>
      </c>
      <c r="D147" s="14" t="s">
        <v>41</v>
      </c>
      <c r="E147" s="14" t="s">
        <v>71</v>
      </c>
      <c r="F147" s="14" t="s">
        <v>43</v>
      </c>
      <c r="G147" s="14" t="s">
        <v>59</v>
      </c>
      <c r="H147" s="14" t="s">
        <v>44</v>
      </c>
      <c r="I147" s="14" t="s">
        <v>45</v>
      </c>
      <c r="J147" s="14" t="s">
        <v>46</v>
      </c>
      <c r="K147" s="16">
        <v>0.01</v>
      </c>
      <c r="L147" s="17">
        <v>45945</v>
      </c>
      <c r="M147" s="18">
        <v>50.152799999999999</v>
      </c>
      <c r="N147" s="18">
        <v>47.193300000000001</v>
      </c>
      <c r="O147" s="18">
        <v>48.348599999999998</v>
      </c>
      <c r="P147" s="18">
        <v>41.234999999999999</v>
      </c>
      <c r="Q147" s="18">
        <v>44.207099999999997</v>
      </c>
      <c r="R147" s="18">
        <v>44.379199999999997</v>
      </c>
      <c r="S147" s="18">
        <v>45.664999999999999</v>
      </c>
      <c r="T147" s="18">
        <v>45.500900000000001</v>
      </c>
      <c r="U147" s="19">
        <v>-9.2799999999999994E-2</v>
      </c>
      <c r="V147" s="19">
        <v>2.0999999999999999E-3</v>
      </c>
      <c r="W147" s="19" t="s">
        <v>26</v>
      </c>
      <c r="X147" s="19" t="s">
        <v>26</v>
      </c>
      <c r="Y147" s="19" t="s">
        <v>26</v>
      </c>
      <c r="Z147" s="19" t="s">
        <v>26</v>
      </c>
      <c r="AA147" s="20">
        <v>5462469.1100000003</v>
      </c>
      <c r="AB147" s="21">
        <f>IFERROR(AVERAGE($V147:$Z147),"")</f>
        <v>2.0999999999999999E-3</v>
      </c>
      <c r="AC147" s="21">
        <f>IFERROR(_xlfn.STDEV.P($V147:$Z147),"")</f>
        <v>0</v>
      </c>
    </row>
    <row r="148" spans="1:29" ht="14.25" customHeight="1" x14ac:dyDescent="0.3">
      <c r="A148" s="14" t="s">
        <v>225</v>
      </c>
      <c r="B148" s="15" t="s">
        <v>211</v>
      </c>
      <c r="C148" s="14" t="s">
        <v>18</v>
      </c>
      <c r="D148" s="14" t="s">
        <v>48</v>
      </c>
      <c r="E148" s="14" t="s">
        <v>53</v>
      </c>
      <c r="F148" s="14" t="s">
        <v>21</v>
      </c>
      <c r="G148" s="14" t="s">
        <v>22</v>
      </c>
      <c r="H148" s="14" t="s">
        <v>54</v>
      </c>
      <c r="I148" s="14" t="s">
        <v>24</v>
      </c>
      <c r="J148" s="14" t="s">
        <v>55</v>
      </c>
      <c r="K148" s="16">
        <v>1.35E-2</v>
      </c>
      <c r="L148" s="17">
        <v>37329</v>
      </c>
      <c r="M148" s="18">
        <v>231.2962</v>
      </c>
      <c r="N148" s="18">
        <v>232.62530000000001</v>
      </c>
      <c r="O148" s="18">
        <v>233.3922</v>
      </c>
      <c r="P148" s="18">
        <v>230.80369999999999</v>
      </c>
      <c r="Q148" s="18">
        <v>233.01339999999999</v>
      </c>
      <c r="R148" s="18">
        <v>233.8168</v>
      </c>
      <c r="S148" s="18">
        <v>235.39359999999999</v>
      </c>
      <c r="T148" s="18">
        <v>235.62559999999999</v>
      </c>
      <c r="U148" s="19">
        <v>1.8700000000000001E-2</v>
      </c>
      <c r="V148" s="19">
        <v>6.1699999999999998E-2</v>
      </c>
      <c r="W148" s="19">
        <v>6.4000000000000001E-2</v>
      </c>
      <c r="X148" s="19">
        <v>9.2600000000000002E-2</v>
      </c>
      <c r="Y148" s="19">
        <v>-6.7500000000000004E-2</v>
      </c>
      <c r="Z148" s="19">
        <v>-3.8600000000000002E-2</v>
      </c>
      <c r="AA148" s="20">
        <v>105017921.93000001</v>
      </c>
      <c r="AB148" s="21">
        <f>IFERROR(AVERAGE($V148:$Z148),"")</f>
        <v>2.2439999999999998E-2</v>
      </c>
      <c r="AC148" s="21">
        <f>IFERROR(_xlfn.STDEV.P($V148:$Z148),"")</f>
        <v>6.3255184767732675E-2</v>
      </c>
    </row>
    <row r="149" spans="1:29" ht="14.25" customHeight="1" x14ac:dyDescent="0.3">
      <c r="A149" s="14" t="s">
        <v>226</v>
      </c>
      <c r="B149" s="15" t="s">
        <v>211</v>
      </c>
      <c r="C149" s="14" t="s">
        <v>28</v>
      </c>
      <c r="D149" s="14" t="s">
        <v>48</v>
      </c>
      <c r="E149" s="14" t="s">
        <v>53</v>
      </c>
      <c r="F149" s="14" t="s">
        <v>21</v>
      </c>
      <c r="G149" s="14" t="s">
        <v>22</v>
      </c>
      <c r="H149" s="14" t="s">
        <v>54</v>
      </c>
      <c r="I149" s="14" t="s">
        <v>24</v>
      </c>
      <c r="J149" s="14" t="s">
        <v>55</v>
      </c>
      <c r="K149" s="16">
        <v>1.35E-2</v>
      </c>
      <c r="L149" s="17">
        <v>35674</v>
      </c>
      <c r="M149" s="18">
        <v>118.8044</v>
      </c>
      <c r="N149" s="18">
        <v>118.9676</v>
      </c>
      <c r="O149" s="18">
        <v>119.5592</v>
      </c>
      <c r="P149" s="18">
        <v>118.33320000000001</v>
      </c>
      <c r="Q149" s="18">
        <v>119.2589</v>
      </c>
      <c r="R149" s="18">
        <v>119.1285</v>
      </c>
      <c r="S149" s="18">
        <v>119.50239999999999</v>
      </c>
      <c r="T149" s="18">
        <v>119.3633</v>
      </c>
      <c r="U149" s="19">
        <v>4.7000000000000002E-3</v>
      </c>
      <c r="V149" s="19">
        <v>5.0500000000000003E-2</v>
      </c>
      <c r="W149" s="19">
        <v>3.2300000000000002E-2</v>
      </c>
      <c r="X149" s="19">
        <v>3.3099999999999997E-2</v>
      </c>
      <c r="Y149" s="19">
        <v>-4.3900000000000002E-2</v>
      </c>
      <c r="Z149" s="19">
        <v>-1.4200000000000001E-2</v>
      </c>
      <c r="AA149" s="20">
        <v>96887793.140000001</v>
      </c>
      <c r="AB149" s="21">
        <f>IFERROR(AVERAGE($V149:$Z149),"")</f>
        <v>1.1560000000000001E-2</v>
      </c>
      <c r="AC149" s="21">
        <f>IFERROR(_xlfn.STDEV.P($V149:$Z149),"")</f>
        <v>3.5070876806832192E-2</v>
      </c>
    </row>
    <row r="150" spans="1:29" ht="14.25" customHeight="1" x14ac:dyDescent="0.3">
      <c r="A150" s="14" t="s">
        <v>227</v>
      </c>
      <c r="B150" s="15" t="s">
        <v>211</v>
      </c>
      <c r="C150" s="14" t="s">
        <v>18</v>
      </c>
      <c r="D150" s="14" t="s">
        <v>48</v>
      </c>
      <c r="E150" s="14" t="s">
        <v>53</v>
      </c>
      <c r="F150" s="14" t="s">
        <v>21</v>
      </c>
      <c r="G150" s="14" t="s">
        <v>22</v>
      </c>
      <c r="H150" s="14" t="s">
        <v>44</v>
      </c>
      <c r="I150" s="14" t="s">
        <v>45</v>
      </c>
      <c r="J150" s="14" t="s">
        <v>46</v>
      </c>
      <c r="K150" s="16">
        <v>1.0999999999999999E-2</v>
      </c>
      <c r="L150" s="17">
        <v>45916</v>
      </c>
      <c r="M150" s="18">
        <v>101.3689</v>
      </c>
      <c r="N150" s="18">
        <v>102.1888</v>
      </c>
      <c r="O150" s="18">
        <v>102.3858</v>
      </c>
      <c r="P150" s="18">
        <v>102.48520000000001</v>
      </c>
      <c r="Q150" s="18">
        <v>103.0445</v>
      </c>
      <c r="R150" s="18">
        <v>103.56489999999999</v>
      </c>
      <c r="S150" s="18">
        <v>104.1031</v>
      </c>
      <c r="T150" s="18">
        <v>104.56699999999999</v>
      </c>
      <c r="U150" s="19">
        <v>3.15E-2</v>
      </c>
      <c r="V150" s="19">
        <v>1.2500000000000001E-2</v>
      </c>
      <c r="W150" s="19" t="s">
        <v>26</v>
      </c>
      <c r="X150" s="19" t="s">
        <v>26</v>
      </c>
      <c r="Y150" s="19" t="s">
        <v>26</v>
      </c>
      <c r="Z150" s="19" t="s">
        <v>26</v>
      </c>
      <c r="AA150" s="20">
        <v>21095573.84</v>
      </c>
      <c r="AB150" s="21">
        <f>IFERROR(AVERAGE($V150:$Z150),"")</f>
        <v>1.2500000000000001E-2</v>
      </c>
      <c r="AC150" s="21">
        <f>IFERROR(_xlfn.STDEV.P($V150:$Z150),"")</f>
        <v>0</v>
      </c>
    </row>
    <row r="151" spans="1:29" ht="14.25" customHeight="1" x14ac:dyDescent="0.3">
      <c r="A151" s="14" t="s">
        <v>228</v>
      </c>
      <c r="B151" s="15" t="s">
        <v>211</v>
      </c>
      <c r="C151" s="14" t="s">
        <v>28</v>
      </c>
      <c r="D151" s="14" t="s">
        <v>48</v>
      </c>
      <c r="E151" s="14" t="s">
        <v>49</v>
      </c>
      <c r="F151" s="14" t="s">
        <v>21</v>
      </c>
      <c r="G151" s="14" t="s">
        <v>29</v>
      </c>
      <c r="H151" s="14" t="s">
        <v>23</v>
      </c>
      <c r="I151" s="14" t="s">
        <v>45</v>
      </c>
      <c r="J151" s="14" t="s">
        <v>46</v>
      </c>
      <c r="K151" s="16">
        <v>9.4999999999999998E-3</v>
      </c>
      <c r="L151" s="17">
        <v>45916</v>
      </c>
      <c r="M151" s="18">
        <v>50.727499999999999</v>
      </c>
      <c r="N151" s="18">
        <v>50.905500000000004</v>
      </c>
      <c r="O151" s="18">
        <v>51.067999999999998</v>
      </c>
      <c r="P151" s="18">
        <v>51.267200000000003</v>
      </c>
      <c r="Q151" s="18">
        <v>51.441499999999998</v>
      </c>
      <c r="R151" s="18">
        <v>51.611600000000003</v>
      </c>
      <c r="S151" s="18">
        <v>51.799300000000002</v>
      </c>
      <c r="T151" s="18">
        <v>51.974499999999999</v>
      </c>
      <c r="U151" s="19">
        <v>2.46E-2</v>
      </c>
      <c r="V151" s="19">
        <v>1.24E-2</v>
      </c>
      <c r="W151" s="19" t="s">
        <v>26</v>
      </c>
      <c r="X151" s="19" t="s">
        <v>26</v>
      </c>
      <c r="Y151" s="19" t="s">
        <v>26</v>
      </c>
      <c r="Z151" s="19" t="s">
        <v>26</v>
      </c>
      <c r="AA151" s="20">
        <v>35313182.520000003</v>
      </c>
      <c r="AB151" s="21">
        <f>IFERROR(AVERAGE($V151:$Z151),"")</f>
        <v>1.24E-2</v>
      </c>
      <c r="AC151" s="21">
        <f>IFERROR(_xlfn.STDEV.P($V151:$Z151),"")</f>
        <v>0</v>
      </c>
    </row>
    <row r="152" spans="1:29" ht="14.25" customHeight="1" x14ac:dyDescent="0.3">
      <c r="A152" s="14" t="s">
        <v>229</v>
      </c>
      <c r="B152" s="15" t="s">
        <v>211</v>
      </c>
      <c r="C152" s="14" t="s">
        <v>18</v>
      </c>
      <c r="D152" s="14" t="s">
        <v>48</v>
      </c>
      <c r="E152" s="14" t="s">
        <v>53</v>
      </c>
      <c r="F152" s="14" t="s">
        <v>21</v>
      </c>
      <c r="G152" s="14" t="s">
        <v>22</v>
      </c>
      <c r="H152" s="14" t="s">
        <v>44</v>
      </c>
      <c r="I152" s="14" t="s">
        <v>45</v>
      </c>
      <c r="J152" s="14" t="s">
        <v>46</v>
      </c>
      <c r="K152" s="16">
        <v>1.2200000000000001E-2</v>
      </c>
      <c r="L152" s="17">
        <v>45946</v>
      </c>
      <c r="M152" s="18">
        <v>101.2484</v>
      </c>
      <c r="N152" s="18">
        <v>102.1202</v>
      </c>
      <c r="O152" s="18">
        <v>102.2544</v>
      </c>
      <c r="P152" s="18">
        <v>102.2814</v>
      </c>
      <c r="Q152" s="18">
        <v>102.84229999999999</v>
      </c>
      <c r="R152" s="18">
        <v>103.3409</v>
      </c>
      <c r="S152" s="18">
        <v>103.88209999999999</v>
      </c>
      <c r="T152" s="18">
        <v>104.325</v>
      </c>
      <c r="U152" s="19">
        <v>3.04E-2</v>
      </c>
      <c r="V152" s="19">
        <v>9.5999999999999992E-3</v>
      </c>
      <c r="W152" s="19" t="s">
        <v>26</v>
      </c>
      <c r="X152" s="19" t="s">
        <v>26</v>
      </c>
      <c r="Y152" s="19" t="s">
        <v>26</v>
      </c>
      <c r="Z152" s="19" t="s">
        <v>26</v>
      </c>
      <c r="AA152" s="20">
        <v>27592212.370000001</v>
      </c>
      <c r="AB152" s="21">
        <f>IFERROR(AVERAGE($V152:$Z152),"")</f>
        <v>9.5999999999999992E-3</v>
      </c>
      <c r="AC152" s="21">
        <f>IFERROR(_xlfn.STDEV.P($V152:$Z152),"")</f>
        <v>0</v>
      </c>
    </row>
    <row r="153" spans="1:29" ht="14.25" customHeight="1" x14ac:dyDescent="0.3">
      <c r="A153" s="14" t="s">
        <v>230</v>
      </c>
      <c r="B153" s="15" t="s">
        <v>211</v>
      </c>
      <c r="C153" s="14" t="s">
        <v>28</v>
      </c>
      <c r="D153" s="14" t="s">
        <v>48</v>
      </c>
      <c r="E153" s="14" t="s">
        <v>49</v>
      </c>
      <c r="F153" s="14" t="s">
        <v>21</v>
      </c>
      <c r="G153" s="14" t="s">
        <v>29</v>
      </c>
      <c r="H153" s="14" t="s">
        <v>23</v>
      </c>
      <c r="I153" s="14" t="s">
        <v>45</v>
      </c>
      <c r="J153" s="14" t="s">
        <v>46</v>
      </c>
      <c r="K153" s="16">
        <v>9.4999999999999998E-3</v>
      </c>
      <c r="L153" s="17">
        <v>45946</v>
      </c>
      <c r="M153" s="18">
        <v>50.529299999999999</v>
      </c>
      <c r="N153" s="18">
        <v>50.7012</v>
      </c>
      <c r="O153" s="18">
        <v>50.8551</v>
      </c>
      <c r="P153" s="18">
        <v>51.050800000000002</v>
      </c>
      <c r="Q153" s="18">
        <v>51.218400000000003</v>
      </c>
      <c r="R153" s="18">
        <v>51.382899999999999</v>
      </c>
      <c r="S153" s="18">
        <v>51.561100000000003</v>
      </c>
      <c r="T153" s="18">
        <v>51.7318</v>
      </c>
      <c r="U153" s="19">
        <v>2.3800000000000002E-2</v>
      </c>
      <c r="V153" s="19">
        <v>8.5000000000000006E-3</v>
      </c>
      <c r="W153" s="19" t="s">
        <v>26</v>
      </c>
      <c r="X153" s="19" t="s">
        <v>26</v>
      </c>
      <c r="Y153" s="19" t="s">
        <v>26</v>
      </c>
      <c r="Z153" s="19" t="s">
        <v>26</v>
      </c>
      <c r="AA153" s="20">
        <v>25969757.940000001</v>
      </c>
      <c r="AB153" s="21">
        <f>IFERROR(AVERAGE($V153:$Z153),"")</f>
        <v>8.5000000000000006E-3</v>
      </c>
      <c r="AC153" s="21">
        <f>IFERROR(_xlfn.STDEV.P($V153:$Z153),"")</f>
        <v>0</v>
      </c>
    </row>
    <row r="154" spans="1:29" ht="14.25" customHeight="1" x14ac:dyDescent="0.3">
      <c r="A154" s="14" t="s">
        <v>231</v>
      </c>
      <c r="B154" s="15" t="s">
        <v>211</v>
      </c>
      <c r="C154" s="14" t="s">
        <v>28</v>
      </c>
      <c r="D154" s="14" t="s">
        <v>48</v>
      </c>
      <c r="E154" s="14" t="s">
        <v>53</v>
      </c>
      <c r="F154" s="14" t="s">
        <v>21</v>
      </c>
      <c r="G154" s="14" t="s">
        <v>22</v>
      </c>
      <c r="H154" s="14" t="s">
        <v>44</v>
      </c>
      <c r="I154" s="14" t="s">
        <v>45</v>
      </c>
      <c r="J154" s="14" t="s">
        <v>46</v>
      </c>
      <c r="K154" s="16">
        <v>8.5000000000000006E-3</v>
      </c>
      <c r="L154" s="17">
        <v>45974</v>
      </c>
      <c r="M154" s="18">
        <v>50.357900000000001</v>
      </c>
      <c r="N154" s="18">
        <v>50.524999999999999</v>
      </c>
      <c r="O154" s="18">
        <v>50.682600000000001</v>
      </c>
      <c r="P154" s="18">
        <v>50.864699999999999</v>
      </c>
      <c r="Q154" s="18">
        <v>51.024799999999999</v>
      </c>
      <c r="R154" s="18">
        <v>51.184899999999999</v>
      </c>
      <c r="S154" s="18">
        <v>51.365499999999997</v>
      </c>
      <c r="T154" s="18">
        <v>51.539000000000001</v>
      </c>
      <c r="U154" s="19">
        <v>2.35E-2</v>
      </c>
      <c r="V154" s="19">
        <v>5.4999999999999997E-3</v>
      </c>
      <c r="W154" s="19" t="s">
        <v>26</v>
      </c>
      <c r="X154" s="19" t="s">
        <v>26</v>
      </c>
      <c r="Y154" s="19" t="s">
        <v>26</v>
      </c>
      <c r="Z154" s="19" t="s">
        <v>26</v>
      </c>
      <c r="AA154" s="20">
        <v>25787934.510000002</v>
      </c>
      <c r="AB154" s="21">
        <f>IFERROR(AVERAGE($V154:$Z154),"")</f>
        <v>5.4999999999999997E-3</v>
      </c>
      <c r="AC154" s="21">
        <f>IFERROR(_xlfn.STDEV.P($V154:$Z154),"")</f>
        <v>0</v>
      </c>
    </row>
    <row r="155" spans="1:29" ht="14.25" customHeight="1" x14ac:dyDescent="0.3">
      <c r="A155" s="14" t="s">
        <v>232</v>
      </c>
      <c r="B155" s="15" t="s">
        <v>211</v>
      </c>
      <c r="C155" s="14" t="s">
        <v>18</v>
      </c>
      <c r="D155" s="14" t="s">
        <v>48</v>
      </c>
      <c r="E155" s="14" t="s">
        <v>53</v>
      </c>
      <c r="F155" s="14" t="s">
        <v>21</v>
      </c>
      <c r="G155" s="14" t="s">
        <v>22</v>
      </c>
      <c r="H155" s="14" t="s">
        <v>44</v>
      </c>
      <c r="I155" s="14" t="s">
        <v>45</v>
      </c>
      <c r="J155" s="14" t="s">
        <v>46</v>
      </c>
      <c r="K155" s="16">
        <v>1.0999999999999999E-2</v>
      </c>
      <c r="L155" s="17">
        <v>46002</v>
      </c>
      <c r="M155" s="18">
        <v>100.21810000000001</v>
      </c>
      <c r="N155" s="18">
        <v>101.07299999999999</v>
      </c>
      <c r="O155" s="18">
        <v>101.23350000000001</v>
      </c>
      <c r="P155" s="18">
        <v>101.2993</v>
      </c>
      <c r="Q155" s="18">
        <v>101.8565</v>
      </c>
      <c r="R155" s="18">
        <v>102.3699</v>
      </c>
      <c r="S155" s="18">
        <v>102.9071</v>
      </c>
      <c r="T155" s="18">
        <v>103.36490000000001</v>
      </c>
      <c r="U155" s="19">
        <v>3.1399999999999997E-2</v>
      </c>
      <c r="V155" s="19">
        <v>1E-3</v>
      </c>
      <c r="W155" s="19" t="s">
        <v>26</v>
      </c>
      <c r="X155" s="19" t="s">
        <v>26</v>
      </c>
      <c r="Y155" s="19" t="s">
        <v>26</v>
      </c>
      <c r="Z155" s="19" t="s">
        <v>26</v>
      </c>
      <c r="AA155" s="20">
        <v>11890280.76</v>
      </c>
      <c r="AB155" s="21">
        <f>IFERROR(AVERAGE($V155:$Z155),"")</f>
        <v>1E-3</v>
      </c>
      <c r="AC155" s="21">
        <f>IFERROR(_xlfn.STDEV.P($V155:$Z155),"")</f>
        <v>0</v>
      </c>
    </row>
    <row r="156" spans="1:29" ht="14.25" customHeight="1" x14ac:dyDescent="0.3">
      <c r="A156" s="14" t="s">
        <v>233</v>
      </c>
      <c r="B156" s="15" t="s">
        <v>211</v>
      </c>
      <c r="C156" s="14" t="s">
        <v>28</v>
      </c>
      <c r="D156" s="14" t="s">
        <v>48</v>
      </c>
      <c r="E156" s="14" t="s">
        <v>49</v>
      </c>
      <c r="F156" s="14" t="s">
        <v>49</v>
      </c>
      <c r="G156" s="14" t="s">
        <v>22</v>
      </c>
      <c r="H156" s="14" t="s">
        <v>206</v>
      </c>
      <c r="I156" s="14" t="s">
        <v>24</v>
      </c>
      <c r="J156" s="14" t="s">
        <v>138</v>
      </c>
      <c r="K156" s="16">
        <v>0.01</v>
      </c>
      <c r="L156" s="17">
        <v>35064</v>
      </c>
      <c r="M156" s="18">
        <v>82.677000000000007</v>
      </c>
      <c r="N156" s="18">
        <v>88.818399999999997</v>
      </c>
      <c r="O156" s="18">
        <v>91.265199999999993</v>
      </c>
      <c r="P156" s="18">
        <v>87.135499999999993</v>
      </c>
      <c r="Q156" s="18">
        <v>86.499899999999997</v>
      </c>
      <c r="R156" s="18">
        <v>88.972700000000003</v>
      </c>
      <c r="S156" s="18">
        <v>90.173500000000004</v>
      </c>
      <c r="T156" s="18">
        <v>91.390500000000003</v>
      </c>
      <c r="U156" s="19">
        <v>0.10539999999999999</v>
      </c>
      <c r="V156" s="19">
        <v>0.21970000000000001</v>
      </c>
      <c r="W156" s="19">
        <v>4.7300000000000002E-2</v>
      </c>
      <c r="X156" s="19">
        <v>0.12570000000000001</v>
      </c>
      <c r="Y156" s="19">
        <v>-2.2000000000000001E-3</v>
      </c>
      <c r="Z156" s="19">
        <v>-3.8800000000000001E-2</v>
      </c>
      <c r="AA156" s="20">
        <v>55559052.609999999</v>
      </c>
      <c r="AB156" s="21">
        <f>IFERROR(AVERAGE($V156:$Z156),"")</f>
        <v>7.0340000000000014E-2</v>
      </c>
      <c r="AC156" s="21">
        <f>IFERROR(_xlfn.STDEV.P($V156:$Z156),"")</f>
        <v>9.2819795302510763E-2</v>
      </c>
    </row>
    <row r="157" spans="1:29" ht="14.25" customHeight="1" x14ac:dyDescent="0.3">
      <c r="A157" s="14" t="s">
        <v>234</v>
      </c>
      <c r="B157" s="15" t="s">
        <v>211</v>
      </c>
      <c r="C157" s="14" t="s">
        <v>18</v>
      </c>
      <c r="D157" s="14" t="s">
        <v>48</v>
      </c>
      <c r="E157" s="14" t="s">
        <v>49</v>
      </c>
      <c r="F157" s="14" t="s">
        <v>49</v>
      </c>
      <c r="G157" s="14" t="s">
        <v>29</v>
      </c>
      <c r="H157" s="14" t="s">
        <v>206</v>
      </c>
      <c r="I157" s="14" t="s">
        <v>24</v>
      </c>
      <c r="J157" s="14" t="s">
        <v>88</v>
      </c>
      <c r="K157" s="16">
        <v>0.02</v>
      </c>
      <c r="L157" s="17">
        <v>39385</v>
      </c>
      <c r="M157" s="18">
        <v>169.2629</v>
      </c>
      <c r="N157" s="18">
        <v>170.06739999999999</v>
      </c>
      <c r="O157" s="18">
        <v>170.673</v>
      </c>
      <c r="P157" s="18">
        <v>170.20920000000001</v>
      </c>
      <c r="Q157" s="18">
        <v>171.18799999999999</v>
      </c>
      <c r="R157" s="18">
        <v>171.73509999999999</v>
      </c>
      <c r="S157" s="18">
        <v>172.636</v>
      </c>
      <c r="T157" s="18">
        <v>172.96899999999999</v>
      </c>
      <c r="U157" s="19">
        <v>2.1899999999999999E-2</v>
      </c>
      <c r="V157" s="19">
        <v>4.99E-2</v>
      </c>
      <c r="W157" s="19">
        <v>8.6199999999999999E-2</v>
      </c>
      <c r="X157" s="19">
        <v>6.8400000000000002E-2</v>
      </c>
      <c r="Y157" s="19">
        <v>8.6E-3</v>
      </c>
      <c r="Z157" s="19">
        <v>1.1000000000000001E-3</v>
      </c>
      <c r="AA157" s="20">
        <v>90742317.359999999</v>
      </c>
      <c r="AB157" s="21">
        <f>IFERROR(AVERAGE($V157:$Z157),"")</f>
        <v>4.2840000000000003E-2</v>
      </c>
      <c r="AC157" s="21">
        <f>IFERROR(_xlfn.STDEV.P($V157:$Z157),"")</f>
        <v>3.3159770807410602E-2</v>
      </c>
    </row>
    <row r="158" spans="1:29" ht="14.25" customHeight="1" x14ac:dyDescent="0.3">
      <c r="A158" s="14" t="s">
        <v>235</v>
      </c>
      <c r="B158" s="15" t="s">
        <v>211</v>
      </c>
      <c r="C158" s="14" t="s">
        <v>18</v>
      </c>
      <c r="D158" s="14" t="s">
        <v>48</v>
      </c>
      <c r="E158" s="14" t="s">
        <v>49</v>
      </c>
      <c r="F158" s="14" t="s">
        <v>49</v>
      </c>
      <c r="G158" s="14" t="s">
        <v>22</v>
      </c>
      <c r="H158" s="14" t="s">
        <v>206</v>
      </c>
      <c r="I158" s="14" t="s">
        <v>24</v>
      </c>
      <c r="J158" s="14" t="s">
        <v>88</v>
      </c>
      <c r="K158" s="16">
        <v>0.01</v>
      </c>
      <c r="L158" s="17">
        <v>44321</v>
      </c>
      <c r="M158" s="18">
        <v>144.11770000000001</v>
      </c>
      <c r="N158" s="18">
        <v>144.74430000000001</v>
      </c>
      <c r="O158" s="18">
        <v>145.20060000000001</v>
      </c>
      <c r="P158" s="18">
        <v>145.6626</v>
      </c>
      <c r="Q158" s="18">
        <v>146.21850000000001</v>
      </c>
      <c r="R158" s="18">
        <v>146.7612</v>
      </c>
      <c r="S158" s="18">
        <v>147.34030000000001</v>
      </c>
      <c r="T158" s="18">
        <v>147.8999</v>
      </c>
      <c r="U158" s="19">
        <v>2.6200000000000001E-2</v>
      </c>
      <c r="V158" s="19">
        <v>4.6399999999999997E-2</v>
      </c>
      <c r="W158" s="19">
        <v>5.5800000000000002E-2</v>
      </c>
      <c r="X158" s="19" t="s">
        <v>26</v>
      </c>
      <c r="Y158" s="19" t="s">
        <v>26</v>
      </c>
      <c r="Z158" s="19" t="s">
        <v>26</v>
      </c>
      <c r="AA158" s="20">
        <v>0</v>
      </c>
      <c r="AB158" s="21">
        <f>IFERROR(AVERAGE($V158:$Z158),"")</f>
        <v>5.11E-2</v>
      </c>
      <c r="AC158" s="21">
        <f>IFERROR(_xlfn.STDEV.P($V158:$Z158),"")</f>
        <v>4.7000000000000028E-3</v>
      </c>
    </row>
    <row r="159" spans="1:29" ht="14.25" customHeight="1" x14ac:dyDescent="0.3">
      <c r="A159" s="14" t="s">
        <v>236</v>
      </c>
      <c r="B159" s="15" t="s">
        <v>211</v>
      </c>
      <c r="C159" s="14" t="s">
        <v>18</v>
      </c>
      <c r="D159" s="14" t="s">
        <v>48</v>
      </c>
      <c r="E159" s="14" t="s">
        <v>53</v>
      </c>
      <c r="F159" s="14" t="s">
        <v>21</v>
      </c>
      <c r="G159" s="14" t="s">
        <v>22</v>
      </c>
      <c r="H159" s="14" t="s">
        <v>23</v>
      </c>
      <c r="I159" s="14" t="s">
        <v>24</v>
      </c>
      <c r="J159" s="14" t="s">
        <v>88</v>
      </c>
      <c r="K159" s="16">
        <v>5.0000000000000001E-3</v>
      </c>
      <c r="L159" s="17">
        <v>41229</v>
      </c>
      <c r="M159" s="18">
        <v>155.2296</v>
      </c>
      <c r="N159" s="18">
        <v>155.95830000000001</v>
      </c>
      <c r="O159" s="18">
        <v>156.50280000000001</v>
      </c>
      <c r="P159" s="18">
        <v>156.34440000000001</v>
      </c>
      <c r="Q159" s="18">
        <v>157.1764</v>
      </c>
      <c r="R159" s="18">
        <v>157.684</v>
      </c>
      <c r="S159" s="18">
        <v>158.40620000000001</v>
      </c>
      <c r="T159" s="18">
        <v>158.85140000000001</v>
      </c>
      <c r="U159" s="19">
        <v>2.3300000000000001E-2</v>
      </c>
      <c r="V159" s="19">
        <v>4.6699999999999998E-2</v>
      </c>
      <c r="W159" s="19" t="s">
        <v>26</v>
      </c>
      <c r="X159" s="19" t="s">
        <v>26</v>
      </c>
      <c r="Y159" s="19" t="s">
        <v>26</v>
      </c>
      <c r="Z159" s="19" t="s">
        <v>26</v>
      </c>
      <c r="AA159" s="20">
        <v>0</v>
      </c>
      <c r="AB159" s="21">
        <f>IFERROR(AVERAGE($V159:$Z159),"")</f>
        <v>4.6699999999999998E-2</v>
      </c>
      <c r="AC159" s="21">
        <f>IFERROR(_xlfn.STDEV.P($V159:$Z159),"")</f>
        <v>0</v>
      </c>
    </row>
    <row r="160" spans="1:29" ht="14.25" customHeight="1" x14ac:dyDescent="0.3">
      <c r="A160" s="14" t="s">
        <v>237</v>
      </c>
      <c r="B160" s="15" t="s">
        <v>211</v>
      </c>
      <c r="C160" s="14" t="s">
        <v>18</v>
      </c>
      <c r="D160" s="14" t="s">
        <v>48</v>
      </c>
      <c r="E160" s="14" t="s">
        <v>53</v>
      </c>
      <c r="F160" s="14" t="s">
        <v>21</v>
      </c>
      <c r="G160" s="14" t="s">
        <v>22</v>
      </c>
      <c r="H160" s="14" t="s">
        <v>23</v>
      </c>
      <c r="I160" s="14" t="s">
        <v>24</v>
      </c>
      <c r="J160" s="14" t="s">
        <v>88</v>
      </c>
      <c r="K160" s="16">
        <v>8.9999999999999993E-3</v>
      </c>
      <c r="L160" s="17">
        <v>41229</v>
      </c>
      <c r="M160" s="18">
        <v>156.0478</v>
      </c>
      <c r="N160" s="18">
        <v>156.78809999999999</v>
      </c>
      <c r="O160" s="18">
        <v>157.33580000000001</v>
      </c>
      <c r="P160" s="18">
        <v>157.1765</v>
      </c>
      <c r="Q160" s="18">
        <v>158.0284</v>
      </c>
      <c r="R160" s="18">
        <v>158.55459999999999</v>
      </c>
      <c r="S160" s="18">
        <v>159.2972</v>
      </c>
      <c r="T160" s="18">
        <v>159.7611</v>
      </c>
      <c r="U160" s="19">
        <v>2.3800000000000002E-2</v>
      </c>
      <c r="V160" s="19">
        <v>4.7300000000000002E-2</v>
      </c>
      <c r="W160" s="19">
        <v>5.5100000000000003E-2</v>
      </c>
      <c r="X160" s="19">
        <v>7.9200000000000007E-2</v>
      </c>
      <c r="Y160" s="19">
        <v>3.8E-3</v>
      </c>
      <c r="Z160" s="19">
        <v>-8.8999999999999999E-3</v>
      </c>
      <c r="AA160" s="20">
        <v>0</v>
      </c>
      <c r="AB160" s="21">
        <f>IFERROR(AVERAGE($V160:$Z160),"")</f>
        <v>3.5300000000000005E-2</v>
      </c>
      <c r="AC160" s="21">
        <f>IFERROR(_xlfn.STDEV.P($V160:$Z160),"")</f>
        <v>3.2891153825914954E-2</v>
      </c>
    </row>
    <row r="161" spans="1:29" ht="14.25" customHeight="1" x14ac:dyDescent="0.3">
      <c r="A161" s="14" t="s">
        <v>238</v>
      </c>
      <c r="B161" s="15" t="s">
        <v>211</v>
      </c>
      <c r="C161" s="14" t="s">
        <v>18</v>
      </c>
      <c r="D161" s="14" t="s">
        <v>48</v>
      </c>
      <c r="E161" s="14" t="s">
        <v>49</v>
      </c>
      <c r="F161" s="14" t="s">
        <v>49</v>
      </c>
      <c r="G161" s="14" t="s">
        <v>22</v>
      </c>
      <c r="H161" s="14" t="s">
        <v>206</v>
      </c>
      <c r="I161" s="14" t="s">
        <v>24</v>
      </c>
      <c r="J161" s="14" t="s">
        <v>88</v>
      </c>
      <c r="K161" s="16">
        <v>8.9999999999999993E-3</v>
      </c>
      <c r="L161" s="17">
        <v>44321</v>
      </c>
      <c r="M161" s="18">
        <v>142.5256</v>
      </c>
      <c r="N161" s="18">
        <v>143.07210000000001</v>
      </c>
      <c r="O161" s="18">
        <v>143.45760000000001</v>
      </c>
      <c r="P161" s="18">
        <v>143.8408</v>
      </c>
      <c r="Q161" s="18">
        <v>144.3192</v>
      </c>
      <c r="R161" s="18">
        <v>144.7834</v>
      </c>
      <c r="S161" s="18">
        <v>145.28049999999999</v>
      </c>
      <c r="T161" s="18">
        <v>145.80250000000001</v>
      </c>
      <c r="U161" s="19">
        <v>2.3E-2</v>
      </c>
      <c r="V161" s="19">
        <v>4.0599999999999997E-2</v>
      </c>
      <c r="W161" s="19">
        <v>5.0799999999999998E-2</v>
      </c>
      <c r="X161" s="19" t="s">
        <v>26</v>
      </c>
      <c r="Y161" s="19" t="s">
        <v>26</v>
      </c>
      <c r="Z161" s="19" t="s">
        <v>26</v>
      </c>
      <c r="AA161" s="20">
        <v>0</v>
      </c>
      <c r="AB161" s="21">
        <f>IFERROR(AVERAGE($V161:$Z161),"")</f>
        <v>4.5699999999999998E-2</v>
      </c>
      <c r="AC161" s="21">
        <f>IFERROR(_xlfn.STDEV.P($V161:$Z161),"")</f>
        <v>5.1000000000000004E-3</v>
      </c>
    </row>
    <row r="162" spans="1:29" ht="14.25" customHeight="1" x14ac:dyDescent="0.3">
      <c r="A162" s="14" t="s">
        <v>239</v>
      </c>
      <c r="B162" s="15" t="s">
        <v>211</v>
      </c>
      <c r="C162" s="14" t="s">
        <v>18</v>
      </c>
      <c r="D162" s="14" t="s">
        <v>48</v>
      </c>
      <c r="E162" s="14" t="s">
        <v>53</v>
      </c>
      <c r="F162" s="14" t="s">
        <v>21</v>
      </c>
      <c r="G162" s="14" t="s">
        <v>22</v>
      </c>
      <c r="H162" s="14" t="s">
        <v>23</v>
      </c>
      <c r="I162" s="14" t="s">
        <v>24</v>
      </c>
      <c r="J162" s="14" t="s">
        <v>88</v>
      </c>
      <c r="K162" s="16">
        <v>0.01</v>
      </c>
      <c r="L162" s="17">
        <v>41229</v>
      </c>
      <c r="M162" s="18">
        <v>155.07570000000001</v>
      </c>
      <c r="N162" s="18">
        <v>155.79560000000001</v>
      </c>
      <c r="O162" s="18">
        <v>156.32509999999999</v>
      </c>
      <c r="P162" s="18">
        <v>156.1506</v>
      </c>
      <c r="Q162" s="18">
        <v>156.97399999999999</v>
      </c>
      <c r="R162" s="18">
        <v>157.47309999999999</v>
      </c>
      <c r="S162" s="18">
        <v>158.1865</v>
      </c>
      <c r="T162" s="18">
        <v>158.62309999999999</v>
      </c>
      <c r="U162" s="19">
        <v>2.29E-2</v>
      </c>
      <c r="V162" s="19">
        <v>4.6100000000000002E-2</v>
      </c>
      <c r="W162" s="19">
        <v>5.3800000000000001E-2</v>
      </c>
      <c r="X162" s="19">
        <v>7.8E-2</v>
      </c>
      <c r="Y162" s="19">
        <v>2.5999999999999999E-3</v>
      </c>
      <c r="Z162" s="19">
        <v>-1.01E-2</v>
      </c>
      <c r="AA162" s="20">
        <v>0</v>
      </c>
      <c r="AB162" s="21">
        <f>IFERROR(AVERAGE($V162:$Z162),"")</f>
        <v>3.4079999999999999E-2</v>
      </c>
      <c r="AC162" s="21">
        <f>IFERROR(_xlfn.STDEV.P($V162:$Z162),"")</f>
        <v>3.2879136241695889E-2</v>
      </c>
    </row>
    <row r="163" spans="1:29" ht="14.25" customHeight="1" x14ac:dyDescent="0.3">
      <c r="A163" s="14" t="s">
        <v>240</v>
      </c>
      <c r="B163" s="15" t="s">
        <v>211</v>
      </c>
      <c r="C163" s="14" t="s">
        <v>28</v>
      </c>
      <c r="D163" s="14" t="s">
        <v>48</v>
      </c>
      <c r="E163" s="14" t="s">
        <v>53</v>
      </c>
      <c r="F163" s="14" t="s">
        <v>21</v>
      </c>
      <c r="G163" s="14" t="s">
        <v>22</v>
      </c>
      <c r="H163" s="14" t="s">
        <v>23</v>
      </c>
      <c r="I163" s="14" t="s">
        <v>24</v>
      </c>
      <c r="J163" s="14" t="s">
        <v>88</v>
      </c>
      <c r="K163" s="16">
        <v>0.01</v>
      </c>
      <c r="L163" s="17">
        <v>41614</v>
      </c>
      <c r="M163" s="18">
        <v>62.479100000000003</v>
      </c>
      <c r="N163" s="18">
        <v>62.660899999999998</v>
      </c>
      <c r="O163" s="18">
        <v>62.882199999999997</v>
      </c>
      <c r="P163" s="18">
        <v>62.832799999999999</v>
      </c>
      <c r="Q163" s="18">
        <v>63.081299999999999</v>
      </c>
      <c r="R163" s="18">
        <v>63.170200000000001</v>
      </c>
      <c r="S163" s="18">
        <v>63.345799999999997</v>
      </c>
      <c r="T163" s="18">
        <v>63.505800000000001</v>
      </c>
      <c r="U163" s="19">
        <v>1.6400000000000001E-2</v>
      </c>
      <c r="V163" s="19">
        <v>4.3299999999999998E-2</v>
      </c>
      <c r="W163" s="19" t="s">
        <v>26</v>
      </c>
      <c r="X163" s="19" t="s">
        <v>26</v>
      </c>
      <c r="Y163" s="19" t="s">
        <v>26</v>
      </c>
      <c r="Z163" s="19" t="s">
        <v>26</v>
      </c>
      <c r="AA163" s="20">
        <v>0</v>
      </c>
      <c r="AB163" s="21">
        <f>IFERROR(AVERAGE($V163:$Z163),"")</f>
        <v>4.3299999999999998E-2</v>
      </c>
      <c r="AC163" s="21">
        <f>IFERROR(_xlfn.STDEV.P($V163:$Z163),"")</f>
        <v>0</v>
      </c>
    </row>
    <row r="164" spans="1:29" ht="14.25" customHeight="1" x14ac:dyDescent="0.3">
      <c r="A164" s="14" t="s">
        <v>241</v>
      </c>
      <c r="B164" s="15" t="s">
        <v>211</v>
      </c>
      <c r="C164" s="14" t="s">
        <v>28</v>
      </c>
      <c r="D164" s="14" t="s">
        <v>48</v>
      </c>
      <c r="E164" s="14" t="s">
        <v>49</v>
      </c>
      <c r="F164" s="14" t="s">
        <v>49</v>
      </c>
      <c r="G164" s="14" t="s">
        <v>22</v>
      </c>
      <c r="H164" s="14" t="s">
        <v>206</v>
      </c>
      <c r="I164" s="14" t="s">
        <v>24</v>
      </c>
      <c r="J164" s="14" t="s">
        <v>88</v>
      </c>
      <c r="K164" s="16">
        <v>8.0000000000000002E-3</v>
      </c>
      <c r="L164" s="17">
        <v>43097</v>
      </c>
      <c r="M164" s="18">
        <v>76.323300000000003</v>
      </c>
      <c r="N164" s="18">
        <v>76.564599999999999</v>
      </c>
      <c r="O164" s="18">
        <v>76.869100000000003</v>
      </c>
      <c r="P164" s="18">
        <v>76.779300000000006</v>
      </c>
      <c r="Q164" s="18">
        <v>77.053399999999996</v>
      </c>
      <c r="R164" s="18">
        <v>77.211299999999994</v>
      </c>
      <c r="S164" s="18">
        <v>77.414699999999996</v>
      </c>
      <c r="T164" s="18">
        <v>77.602000000000004</v>
      </c>
      <c r="U164" s="19">
        <v>1.6799999999999999E-2</v>
      </c>
      <c r="V164" s="19">
        <v>4.4200000000000003E-2</v>
      </c>
      <c r="W164" s="19">
        <v>4.1399999999999999E-2</v>
      </c>
      <c r="X164" s="19">
        <v>5.04E-2</v>
      </c>
      <c r="Y164" s="19">
        <v>2.8199999999999999E-2</v>
      </c>
      <c r="Z164" s="19">
        <v>2.1700000000000001E-2</v>
      </c>
      <c r="AA164" s="20">
        <v>169486028.19</v>
      </c>
      <c r="AB164" s="21">
        <f>IFERROR(AVERAGE($V164:$Z164),"")</f>
        <v>3.7180000000000005E-2</v>
      </c>
      <c r="AC164" s="21">
        <f>IFERROR(_xlfn.STDEV.P($V164:$Z164),"")</f>
        <v>1.0603093888106426E-2</v>
      </c>
    </row>
    <row r="165" spans="1:29" ht="14.25" customHeight="1" x14ac:dyDescent="0.3">
      <c r="A165" s="14" t="s">
        <v>242</v>
      </c>
      <c r="B165" s="15" t="s">
        <v>211</v>
      </c>
      <c r="C165" s="14" t="s">
        <v>18</v>
      </c>
      <c r="D165" s="14" t="s">
        <v>48</v>
      </c>
      <c r="E165" s="14" t="s">
        <v>53</v>
      </c>
      <c r="F165" s="14" t="s">
        <v>21</v>
      </c>
      <c r="G165" s="14" t="s">
        <v>22</v>
      </c>
      <c r="H165" s="14" t="s">
        <v>206</v>
      </c>
      <c r="I165" s="14" t="s">
        <v>24</v>
      </c>
      <c r="J165" s="14" t="s">
        <v>88</v>
      </c>
      <c r="K165" s="16">
        <v>0.01</v>
      </c>
      <c r="L165" s="17">
        <v>44557</v>
      </c>
      <c r="M165" s="18">
        <v>115.25530000000001</v>
      </c>
      <c r="N165" s="18">
        <v>116.3693</v>
      </c>
      <c r="O165" s="18">
        <v>117.5868</v>
      </c>
      <c r="P165" s="18">
        <v>111.5231</v>
      </c>
      <c r="Q165" s="18">
        <v>116.8493</v>
      </c>
      <c r="R165" s="18">
        <v>119.8677</v>
      </c>
      <c r="S165" s="18">
        <v>120.90940000000001</v>
      </c>
      <c r="T165" s="18">
        <v>118.91500000000001</v>
      </c>
      <c r="U165" s="19">
        <v>3.1800000000000002E-2</v>
      </c>
      <c r="V165" s="19">
        <v>0.11070000000000001</v>
      </c>
      <c r="W165" s="19">
        <v>6.6199999999999995E-2</v>
      </c>
      <c r="X165" s="19">
        <v>0.1038</v>
      </c>
      <c r="Y165" s="19">
        <v>-0.1201</v>
      </c>
      <c r="Z165" s="19">
        <v>-5.0000000000000001E-4</v>
      </c>
      <c r="AA165" s="20">
        <v>53712776.240000002</v>
      </c>
      <c r="AB165" s="21">
        <f>IFERROR(AVERAGE($V165:$Z165),"")</f>
        <v>3.2020000000000007E-2</v>
      </c>
      <c r="AC165" s="21">
        <f>IFERROR(_xlfn.STDEV.P($V165:$Z165),"")</f>
        <v>8.5684570372967395E-2</v>
      </c>
    </row>
    <row r="166" spans="1:29" ht="14.25" customHeight="1" x14ac:dyDescent="0.3">
      <c r="A166" s="14" t="s">
        <v>243</v>
      </c>
      <c r="B166" s="15" t="s">
        <v>211</v>
      </c>
      <c r="C166" s="14" t="s">
        <v>28</v>
      </c>
      <c r="D166" s="14" t="s">
        <v>48</v>
      </c>
      <c r="E166" s="14" t="s">
        <v>53</v>
      </c>
      <c r="F166" s="14" t="s">
        <v>21</v>
      </c>
      <c r="G166" s="14" t="s">
        <v>22</v>
      </c>
      <c r="H166" s="14" t="s">
        <v>23</v>
      </c>
      <c r="I166" s="14" t="s">
        <v>24</v>
      </c>
      <c r="J166" s="14" t="s">
        <v>88</v>
      </c>
      <c r="K166" s="16">
        <v>1.2500000000000001E-2</v>
      </c>
      <c r="L166" s="17">
        <v>41614</v>
      </c>
      <c r="M166" s="18">
        <v>62.983199999999997</v>
      </c>
      <c r="N166" s="18">
        <v>63.172499999999999</v>
      </c>
      <c r="O166" s="18">
        <v>63.4011</v>
      </c>
      <c r="P166" s="18">
        <v>63.357500000000002</v>
      </c>
      <c r="Q166" s="18">
        <v>63.614400000000003</v>
      </c>
      <c r="R166" s="18">
        <v>63.710099999999997</v>
      </c>
      <c r="S166" s="18">
        <v>63.893700000000003</v>
      </c>
      <c r="T166" s="18">
        <v>64.061499999999995</v>
      </c>
      <c r="U166" s="19">
        <v>1.7100000000000001E-2</v>
      </c>
      <c r="V166" s="19">
        <v>4.4600000000000001E-2</v>
      </c>
      <c r="W166" s="19">
        <v>4.2500000000000003E-2</v>
      </c>
      <c r="X166" s="19">
        <v>3.5400000000000001E-2</v>
      </c>
      <c r="Y166" s="19">
        <v>1.6199999999999999E-2</v>
      </c>
      <c r="Z166" s="19" t="s">
        <v>26</v>
      </c>
      <c r="AA166" s="20">
        <v>0</v>
      </c>
      <c r="AB166" s="21">
        <f>IFERROR(AVERAGE($V166:$Z166),"")</f>
        <v>3.4675000000000004E-2</v>
      </c>
      <c r="AC166" s="21">
        <f>IFERROR(_xlfn.STDEV.P($V166:$Z166),"")</f>
        <v>1.1198074611289202E-2</v>
      </c>
    </row>
    <row r="167" spans="1:29" ht="14.25" customHeight="1" x14ac:dyDescent="0.3">
      <c r="A167" s="14" t="s">
        <v>244</v>
      </c>
      <c r="B167" s="15" t="s">
        <v>211</v>
      </c>
      <c r="C167" s="14" t="s">
        <v>28</v>
      </c>
      <c r="D167" s="14" t="s">
        <v>48</v>
      </c>
      <c r="E167" s="14" t="s">
        <v>53</v>
      </c>
      <c r="F167" s="14" t="s">
        <v>21</v>
      </c>
      <c r="G167" s="14" t="s">
        <v>22</v>
      </c>
      <c r="H167" s="14" t="s">
        <v>23</v>
      </c>
      <c r="I167" s="14" t="s">
        <v>24</v>
      </c>
      <c r="J167" s="14" t="s">
        <v>88</v>
      </c>
      <c r="K167" s="16">
        <v>7.0000000000000001E-3</v>
      </c>
      <c r="L167" s="17">
        <v>41614</v>
      </c>
      <c r="M167" s="18">
        <v>62.423099999999998</v>
      </c>
      <c r="N167" s="18">
        <v>62.601700000000001</v>
      </c>
      <c r="O167" s="18">
        <v>62.819899999999997</v>
      </c>
      <c r="P167" s="18">
        <v>62.767699999999998</v>
      </c>
      <c r="Q167" s="18">
        <v>63.012500000000003</v>
      </c>
      <c r="R167" s="18">
        <v>63.097900000000003</v>
      </c>
      <c r="S167" s="18">
        <v>63.27</v>
      </c>
      <c r="T167" s="18">
        <v>63.426200000000001</v>
      </c>
      <c r="U167" s="19">
        <v>1.61E-2</v>
      </c>
      <c r="V167" s="19">
        <v>4.2700000000000002E-2</v>
      </c>
      <c r="W167" s="19">
        <v>4.07E-2</v>
      </c>
      <c r="X167" s="19">
        <v>3.3599999999999998E-2</v>
      </c>
      <c r="Y167" s="19">
        <v>1.44E-2</v>
      </c>
      <c r="Z167" s="19" t="s">
        <v>26</v>
      </c>
      <c r="AA167" s="20">
        <v>0</v>
      </c>
      <c r="AB167" s="21">
        <f>IFERROR(AVERAGE($V167:$Z167),"")</f>
        <v>3.2849999999999997E-2</v>
      </c>
      <c r="AC167" s="21">
        <f>IFERROR(_xlfn.STDEV.P($V167:$Z167),"")</f>
        <v>1.1175978704346222E-2</v>
      </c>
    </row>
    <row r="168" spans="1:29" ht="14.25" customHeight="1" x14ac:dyDescent="0.3">
      <c r="A168" s="14" t="s">
        <v>245</v>
      </c>
      <c r="B168" s="15" t="s">
        <v>211</v>
      </c>
      <c r="C168" s="14" t="s">
        <v>28</v>
      </c>
      <c r="D168" s="14" t="s">
        <v>48</v>
      </c>
      <c r="E168" s="14" t="s">
        <v>53</v>
      </c>
      <c r="F168" s="14" t="s">
        <v>21</v>
      </c>
      <c r="G168" s="14" t="s">
        <v>22</v>
      </c>
      <c r="H168" s="14" t="s">
        <v>206</v>
      </c>
      <c r="I168" s="14" t="s">
        <v>24</v>
      </c>
      <c r="J168" s="14" t="s">
        <v>88</v>
      </c>
      <c r="K168" s="16">
        <v>8.5000000000000006E-3</v>
      </c>
      <c r="L168" s="17">
        <v>44557</v>
      </c>
      <c r="M168" s="18">
        <v>55.3155</v>
      </c>
      <c r="N168" s="18">
        <v>55.8217</v>
      </c>
      <c r="O168" s="18">
        <v>56.365900000000003</v>
      </c>
      <c r="P168" s="18">
        <v>53.482100000000003</v>
      </c>
      <c r="Q168" s="18">
        <v>55.896500000000003</v>
      </c>
      <c r="R168" s="18">
        <v>57.247500000000002</v>
      </c>
      <c r="S168" s="18">
        <v>57.734400000000001</v>
      </c>
      <c r="T168" s="18">
        <v>56.687899999999999</v>
      </c>
      <c r="U168" s="19">
        <v>2.4799999999999999E-2</v>
      </c>
      <c r="V168" s="19">
        <v>0.1099</v>
      </c>
      <c r="W168" s="19">
        <v>6.6799999999999998E-2</v>
      </c>
      <c r="X168" s="19">
        <v>8.3199999999999996E-2</v>
      </c>
      <c r="Y168" s="19">
        <v>-0.13850000000000001</v>
      </c>
      <c r="Z168" s="19">
        <v>-2.9999999999999997E-4</v>
      </c>
      <c r="AA168" s="20">
        <v>60827252.990000002</v>
      </c>
      <c r="AB168" s="21">
        <f>IFERROR(AVERAGE($V168:$Z168),"")</f>
        <v>2.4220000000000002E-2</v>
      </c>
      <c r="AC168" s="21">
        <f>IFERROR(_xlfn.STDEV.P($V168:$Z168),"")</f>
        <v>8.9119905745012995E-2</v>
      </c>
    </row>
    <row r="169" spans="1:29" ht="14.25" customHeight="1" x14ac:dyDescent="0.3">
      <c r="A169" s="14" t="s">
        <v>246</v>
      </c>
      <c r="B169" s="15" t="s">
        <v>211</v>
      </c>
      <c r="C169" s="14" t="s">
        <v>28</v>
      </c>
      <c r="D169" s="14" t="s">
        <v>78</v>
      </c>
      <c r="E169" s="14" t="s">
        <v>162</v>
      </c>
      <c r="F169" s="14" t="s">
        <v>203</v>
      </c>
      <c r="G169" s="14" t="s">
        <v>29</v>
      </c>
      <c r="H169" s="14" t="s">
        <v>44</v>
      </c>
      <c r="I169" s="14" t="s">
        <v>45</v>
      </c>
      <c r="J169" s="14" t="s">
        <v>46</v>
      </c>
      <c r="K169" s="16">
        <v>1.2500000000000001E-2</v>
      </c>
      <c r="L169" s="17">
        <v>44466</v>
      </c>
      <c r="M169" s="18">
        <v>57.436799999999998</v>
      </c>
      <c r="N169" s="18">
        <v>57.409300000000002</v>
      </c>
      <c r="O169" s="18">
        <v>52.547600000000003</v>
      </c>
      <c r="P169" s="18">
        <v>52.493099999999998</v>
      </c>
      <c r="Q169" s="18">
        <v>52.604300000000002</v>
      </c>
      <c r="R169" s="18">
        <v>52.736699999999999</v>
      </c>
      <c r="S169" s="18">
        <v>52.719799999999999</v>
      </c>
      <c r="T169" s="18">
        <v>51.011600000000001</v>
      </c>
      <c r="U169" s="19">
        <v>-0.1119</v>
      </c>
      <c r="V169" s="19">
        <v>2.8199999999999999E-2</v>
      </c>
      <c r="W169" s="19">
        <v>3.0599999999999999E-2</v>
      </c>
      <c r="X169" s="19">
        <v>2.46E-2</v>
      </c>
      <c r="Y169" s="19">
        <v>5.04E-2</v>
      </c>
      <c r="Z169" s="19">
        <v>5.3E-3</v>
      </c>
      <c r="AA169" s="20">
        <v>266520127.43000001</v>
      </c>
      <c r="AB169" s="21">
        <f>IFERROR(AVERAGE($V169:$Z169),"")</f>
        <v>2.7820000000000001E-2</v>
      </c>
      <c r="AC169" s="21">
        <f>IFERROR(_xlfn.STDEV.P($V169:$Z169),"")</f>
        <v>1.4389218185850124E-2</v>
      </c>
    </row>
    <row r="170" spans="1:29" ht="14.25" customHeight="1" x14ac:dyDescent="0.3">
      <c r="A170" s="14" t="s">
        <v>247</v>
      </c>
      <c r="B170" s="15" t="s">
        <v>248</v>
      </c>
      <c r="C170" s="14" t="s">
        <v>28</v>
      </c>
      <c r="D170" s="14" t="s">
        <v>41</v>
      </c>
      <c r="E170" s="14" t="s">
        <v>71</v>
      </c>
      <c r="F170" s="14" t="s">
        <v>43</v>
      </c>
      <c r="G170" s="14" t="s">
        <v>29</v>
      </c>
      <c r="H170" s="14" t="s">
        <v>44</v>
      </c>
      <c r="I170" s="14" t="s">
        <v>24</v>
      </c>
      <c r="J170" s="14" t="s">
        <v>102</v>
      </c>
      <c r="K170" s="16">
        <v>0.01</v>
      </c>
      <c r="L170" s="17">
        <v>36174</v>
      </c>
      <c r="M170" s="18">
        <v>4.6522974000000001</v>
      </c>
      <c r="N170" s="18">
        <v>5.3692216200000003</v>
      </c>
      <c r="O170" s="18">
        <v>5.59694336</v>
      </c>
      <c r="P170" s="18">
        <v>5.04838918</v>
      </c>
      <c r="Q170" s="18">
        <v>4.9315355299999997</v>
      </c>
      <c r="R170" s="18">
        <v>5.1950554599999998</v>
      </c>
      <c r="S170" s="18">
        <v>5.5308912799999996</v>
      </c>
      <c r="T170" s="18">
        <v>5.6254064899999996</v>
      </c>
      <c r="U170" s="19">
        <v>0.2092</v>
      </c>
      <c r="V170" s="19">
        <v>0.48089999999999999</v>
      </c>
      <c r="W170" s="19">
        <v>4.8800000000000003E-2</v>
      </c>
      <c r="X170" s="19">
        <v>5.9499999999999997E-2</v>
      </c>
      <c r="Y170" s="19">
        <v>-3.8100000000000002E-2</v>
      </c>
      <c r="Z170" s="19">
        <v>0.03</v>
      </c>
      <c r="AA170" s="20">
        <v>5294863.4000000004</v>
      </c>
      <c r="AB170" s="21">
        <f>IFERROR(AVERAGE($V170:$Z170),"")</f>
        <v>0.11621999999999999</v>
      </c>
      <c r="AC170" s="21">
        <f>IFERROR(_xlfn.STDEV.P($V170:$Z170),"")</f>
        <v>0.18547380839353031</v>
      </c>
    </row>
    <row r="171" spans="1:29" ht="14.25" customHeight="1" x14ac:dyDescent="0.3">
      <c r="A171" s="14" t="s">
        <v>249</v>
      </c>
      <c r="B171" s="15" t="s">
        <v>248</v>
      </c>
      <c r="C171" s="14" t="s">
        <v>28</v>
      </c>
      <c r="D171" s="14" t="s">
        <v>41</v>
      </c>
      <c r="E171" s="14" t="s">
        <v>71</v>
      </c>
      <c r="F171" s="14" t="s">
        <v>43</v>
      </c>
      <c r="G171" s="14" t="s">
        <v>66</v>
      </c>
      <c r="H171" s="14" t="s">
        <v>44</v>
      </c>
      <c r="I171" s="14" t="s">
        <v>45</v>
      </c>
      <c r="J171" s="14" t="s">
        <v>46</v>
      </c>
      <c r="K171" s="16">
        <v>0.01</v>
      </c>
      <c r="L171" s="17">
        <v>45973</v>
      </c>
      <c r="M171" s="18">
        <v>1.0196967699999999</v>
      </c>
      <c r="N171" s="18">
        <v>1.0325104700000001</v>
      </c>
      <c r="O171" s="18">
        <v>1.0199168999999999</v>
      </c>
      <c r="P171" s="18">
        <v>0.96812843999999998</v>
      </c>
      <c r="Q171" s="18">
        <v>1.08533316</v>
      </c>
      <c r="R171" s="18">
        <v>1.1494611400000001</v>
      </c>
      <c r="S171" s="18">
        <v>1.13655401</v>
      </c>
      <c r="T171" s="18">
        <v>1.1217424300000001</v>
      </c>
      <c r="U171" s="19">
        <v>0.10009999999999999</v>
      </c>
      <c r="V171" s="19">
        <v>-4.8999999999999998E-3</v>
      </c>
      <c r="W171" s="19" t="s">
        <v>26</v>
      </c>
      <c r="X171" s="19" t="s">
        <v>26</v>
      </c>
      <c r="Y171" s="19" t="s">
        <v>26</v>
      </c>
      <c r="Z171" s="19" t="s">
        <v>26</v>
      </c>
      <c r="AA171" s="20">
        <v>2790218.03</v>
      </c>
      <c r="AB171" s="21">
        <f>IFERROR(AVERAGE($V171:$Z171),"")</f>
        <v>-4.8999999999999998E-3</v>
      </c>
      <c r="AC171" s="21">
        <f>IFERROR(_xlfn.STDEV.P($V171:$Z171),"")</f>
        <v>0</v>
      </c>
    </row>
    <row r="172" spans="1:29" ht="14.25" customHeight="1" x14ac:dyDescent="0.3">
      <c r="A172" s="14" t="s">
        <v>250</v>
      </c>
      <c r="B172" s="15" t="s">
        <v>251</v>
      </c>
      <c r="C172" s="14" t="s">
        <v>28</v>
      </c>
      <c r="D172" s="14" t="s">
        <v>41</v>
      </c>
      <c r="E172" s="14" t="s">
        <v>71</v>
      </c>
      <c r="F172" s="14" t="s">
        <v>43</v>
      </c>
      <c r="G172" s="14" t="s">
        <v>29</v>
      </c>
      <c r="H172" s="14" t="s">
        <v>44</v>
      </c>
      <c r="I172" s="14" t="s">
        <v>24</v>
      </c>
      <c r="J172" s="14" t="s">
        <v>46</v>
      </c>
      <c r="K172" s="16">
        <v>1.2999999999999999E-2</v>
      </c>
      <c r="L172" s="17">
        <v>45103</v>
      </c>
      <c r="M172" s="18">
        <v>15.54373075</v>
      </c>
      <c r="N172" s="18">
        <v>16.092411800000001</v>
      </c>
      <c r="O172" s="18">
        <v>16.658997530000001</v>
      </c>
      <c r="P172" s="18">
        <v>15.365998169999999</v>
      </c>
      <c r="Q172" s="18">
        <v>17.15859215</v>
      </c>
      <c r="R172" s="18">
        <v>18.418306909999998</v>
      </c>
      <c r="S172" s="18">
        <v>17.967292260000001</v>
      </c>
      <c r="T172" s="18">
        <v>16.494469410000001</v>
      </c>
      <c r="U172" s="19">
        <v>6.1199999999999997E-2</v>
      </c>
      <c r="V172" s="19">
        <v>0.2167</v>
      </c>
      <c r="W172" s="19">
        <v>0.16589999999999999</v>
      </c>
      <c r="X172" s="19">
        <v>8.77E-2</v>
      </c>
      <c r="Y172" s="19" t="s">
        <v>26</v>
      </c>
      <c r="Z172" s="19" t="s">
        <v>26</v>
      </c>
      <c r="AA172" s="20">
        <v>0</v>
      </c>
      <c r="AB172" s="21">
        <f>IFERROR(AVERAGE($V172:$Z172),"")</f>
        <v>0.15676666666666667</v>
      </c>
      <c r="AC172" s="21">
        <f>IFERROR(_xlfn.STDEV.P($V172:$Z172),"")</f>
        <v>5.3058542091626394E-2</v>
      </c>
    </row>
    <row r="173" spans="1:29" ht="14.25" customHeight="1" x14ac:dyDescent="0.3">
      <c r="A173" s="14" t="s">
        <v>252</v>
      </c>
      <c r="B173" s="15" t="s">
        <v>251</v>
      </c>
      <c r="C173" s="14" t="s">
        <v>28</v>
      </c>
      <c r="D173" s="14" t="s">
        <v>41</v>
      </c>
      <c r="E173" s="14" t="s">
        <v>71</v>
      </c>
      <c r="F173" s="14" t="s">
        <v>43</v>
      </c>
      <c r="G173" s="14" t="s">
        <v>29</v>
      </c>
      <c r="H173" s="14" t="s">
        <v>44</v>
      </c>
      <c r="I173" s="14" t="s">
        <v>24</v>
      </c>
      <c r="J173" s="14" t="s">
        <v>46</v>
      </c>
      <c r="K173" s="16">
        <v>1.2999999999999999E-2</v>
      </c>
      <c r="L173" s="17">
        <v>45103</v>
      </c>
      <c r="M173" s="18">
        <v>15.176193189999999</v>
      </c>
      <c r="N173" s="18">
        <v>15.703123310000001</v>
      </c>
      <c r="O173" s="18">
        <v>16.245138480000001</v>
      </c>
      <c r="P173" s="18">
        <v>14.97286609</v>
      </c>
      <c r="Q173" s="18">
        <v>16.70728544</v>
      </c>
      <c r="R173" s="18">
        <v>17.920636810000001</v>
      </c>
      <c r="S173" s="18">
        <v>17.468548200000001</v>
      </c>
      <c r="T173" s="18">
        <v>16.024393480000001</v>
      </c>
      <c r="U173" s="19">
        <v>5.5899999999999998E-2</v>
      </c>
      <c r="V173" s="19">
        <v>0.2089</v>
      </c>
      <c r="W173" s="19">
        <v>0.1545</v>
      </c>
      <c r="X173" s="19">
        <v>7.9699999999999993E-2</v>
      </c>
      <c r="Y173" s="19" t="s">
        <v>26</v>
      </c>
      <c r="Z173" s="19" t="s">
        <v>26</v>
      </c>
      <c r="AA173" s="20">
        <v>0</v>
      </c>
      <c r="AB173" s="21">
        <f>IFERROR(AVERAGE($V173:$Z173),"")</f>
        <v>0.1477</v>
      </c>
      <c r="AC173" s="21">
        <f>IFERROR(_xlfn.STDEV.P($V173:$Z173),"")</f>
        <v>5.2964390553150581E-2</v>
      </c>
    </row>
    <row r="174" spans="1:29" ht="14.25" customHeight="1" x14ac:dyDescent="0.3">
      <c r="A174" s="14" t="s">
        <v>253</v>
      </c>
      <c r="B174" s="15" t="s">
        <v>251</v>
      </c>
      <c r="C174" s="14" t="s">
        <v>18</v>
      </c>
      <c r="D174" s="14" t="s">
        <v>48</v>
      </c>
      <c r="E174" s="14" t="s">
        <v>53</v>
      </c>
      <c r="F174" s="14" t="s">
        <v>21</v>
      </c>
      <c r="G174" s="14" t="s">
        <v>22</v>
      </c>
      <c r="H174" s="14" t="s">
        <v>23</v>
      </c>
      <c r="I174" s="14" t="s">
        <v>24</v>
      </c>
      <c r="J174" s="14" t="s">
        <v>25</v>
      </c>
      <c r="K174" s="16">
        <v>7.4999999999999997E-3</v>
      </c>
      <c r="L174" s="17">
        <v>45386</v>
      </c>
      <c r="M174" s="18">
        <v>11.06997765</v>
      </c>
      <c r="N174" s="18">
        <v>11.10659575</v>
      </c>
      <c r="O174" s="18">
        <v>11.109104240000001</v>
      </c>
      <c r="P174" s="18">
        <v>11.109104240000001</v>
      </c>
      <c r="Q174" s="18">
        <v>11.109104240000001</v>
      </c>
      <c r="R174" s="18">
        <v>11.109104240000001</v>
      </c>
      <c r="S174" s="18">
        <v>11.109104240000001</v>
      </c>
      <c r="T174" s="18">
        <v>11.109104240000001</v>
      </c>
      <c r="U174" s="19">
        <v>-1</v>
      </c>
      <c r="V174" s="19">
        <v>4.1700000000000001E-2</v>
      </c>
      <c r="W174" s="19">
        <v>3.49E-2</v>
      </c>
      <c r="X174" s="19" t="s">
        <v>26</v>
      </c>
      <c r="Y174" s="19" t="s">
        <v>26</v>
      </c>
      <c r="Z174" s="19" t="s">
        <v>26</v>
      </c>
      <c r="AA174" s="20">
        <v>0</v>
      </c>
      <c r="AB174" s="21">
        <f>IFERROR(AVERAGE($V174:$Z174),"")</f>
        <v>3.8300000000000001E-2</v>
      </c>
      <c r="AC174" s="21">
        <f>IFERROR(_xlfn.STDEV.P($V174:$Z174),"")</f>
        <v>3.4000000000000002E-3</v>
      </c>
    </row>
    <row r="175" spans="1:29" ht="14.25" customHeight="1" x14ac:dyDescent="0.3">
      <c r="A175" s="14" t="s">
        <v>254</v>
      </c>
      <c r="B175" s="15" t="s">
        <v>251</v>
      </c>
      <c r="C175" s="14" t="s">
        <v>18</v>
      </c>
      <c r="D175" s="14" t="s">
        <v>48</v>
      </c>
      <c r="E175" s="14" t="s">
        <v>53</v>
      </c>
      <c r="F175" s="14" t="s">
        <v>21</v>
      </c>
      <c r="G175" s="14" t="s">
        <v>22</v>
      </c>
      <c r="H175" s="14" t="s">
        <v>23</v>
      </c>
      <c r="I175" s="14" t="s">
        <v>24</v>
      </c>
      <c r="J175" s="14" t="s">
        <v>25</v>
      </c>
      <c r="K175" s="16">
        <v>8.9999999999999993E-3</v>
      </c>
      <c r="L175" s="17">
        <v>45386</v>
      </c>
      <c r="M175" s="18">
        <v>11.159781349999999</v>
      </c>
      <c r="N175" s="18">
        <v>11.19525206</v>
      </c>
      <c r="O175" s="18">
        <v>11.224160489999999</v>
      </c>
      <c r="P175" s="18">
        <v>11.256129</v>
      </c>
      <c r="Q175" s="18">
        <v>11.29691435</v>
      </c>
      <c r="R175" s="18">
        <v>11.331662830000001</v>
      </c>
      <c r="S175" s="18">
        <v>11.37850547</v>
      </c>
      <c r="T175" s="18">
        <v>11.4212314</v>
      </c>
      <c r="U175" s="19">
        <v>2.3400000000000001E-2</v>
      </c>
      <c r="V175" s="19">
        <v>4.0500000000000001E-2</v>
      </c>
      <c r="W175" s="19">
        <v>3.4299999999999997E-2</v>
      </c>
      <c r="X175" s="19" t="s">
        <v>26</v>
      </c>
      <c r="Y175" s="19" t="s">
        <v>26</v>
      </c>
      <c r="Z175" s="19" t="s">
        <v>26</v>
      </c>
      <c r="AA175" s="20">
        <v>0</v>
      </c>
      <c r="AB175" s="21">
        <f>IFERROR(AVERAGE($V175:$Z175),"")</f>
        <v>3.7400000000000003E-2</v>
      </c>
      <c r="AC175" s="21">
        <f>IFERROR(_xlfn.STDEV.P($V175:$Z175),"")</f>
        <v>3.1000000000000021E-3</v>
      </c>
    </row>
    <row r="176" spans="1:29" ht="14.25" customHeight="1" x14ac:dyDescent="0.3">
      <c r="A176" s="14" t="s">
        <v>255</v>
      </c>
      <c r="B176" s="15" t="s">
        <v>251</v>
      </c>
      <c r="C176" s="14" t="s">
        <v>28</v>
      </c>
      <c r="D176" s="14" t="s">
        <v>48</v>
      </c>
      <c r="E176" s="14" t="s">
        <v>53</v>
      </c>
      <c r="F176" s="14" t="s">
        <v>21</v>
      </c>
      <c r="G176" s="14" t="s">
        <v>22</v>
      </c>
      <c r="H176" s="14" t="s">
        <v>23</v>
      </c>
      <c r="I176" s="14" t="s">
        <v>24</v>
      </c>
      <c r="J176" s="14" t="s">
        <v>25</v>
      </c>
      <c r="K176" s="16">
        <v>8.9999999999999993E-3</v>
      </c>
      <c r="L176" s="17">
        <v>45505</v>
      </c>
      <c r="M176" s="18">
        <v>10.968348049999999</v>
      </c>
      <c r="N176" s="18">
        <v>10.996200529999999</v>
      </c>
      <c r="O176" s="18">
        <v>11.02189392</v>
      </c>
      <c r="P176" s="18">
        <v>11.040552330000001</v>
      </c>
      <c r="Q176" s="18">
        <v>11.07465228</v>
      </c>
      <c r="R176" s="18">
        <v>11.102711879999999</v>
      </c>
      <c r="S176" s="18">
        <v>11.138477229999999</v>
      </c>
      <c r="T176" s="18">
        <v>11.170708960000001</v>
      </c>
      <c r="U176" s="19">
        <v>1.84E-2</v>
      </c>
      <c r="V176" s="19">
        <v>3.1300000000000001E-2</v>
      </c>
      <c r="W176" s="19">
        <v>1.6799999999999999E-2</v>
      </c>
      <c r="X176" s="19" t="s">
        <v>26</v>
      </c>
      <c r="Y176" s="19" t="s">
        <v>26</v>
      </c>
      <c r="Z176" s="19" t="s">
        <v>26</v>
      </c>
      <c r="AA176" s="20">
        <v>0</v>
      </c>
      <c r="AB176" s="21">
        <f>IFERROR(AVERAGE($V176:$Z176),"")</f>
        <v>2.4050000000000002E-2</v>
      </c>
      <c r="AC176" s="21">
        <f>IFERROR(_xlfn.STDEV.P($V176:$Z176),"")</f>
        <v>7.2499999999999986E-3</v>
      </c>
    </row>
    <row r="177" spans="1:29" ht="14.25" customHeight="1" x14ac:dyDescent="0.3">
      <c r="A177" s="14" t="s">
        <v>256</v>
      </c>
      <c r="B177" s="15" t="s">
        <v>251</v>
      </c>
      <c r="C177" s="14" t="s">
        <v>28</v>
      </c>
      <c r="D177" s="14" t="s">
        <v>48</v>
      </c>
      <c r="E177" s="14" t="s">
        <v>53</v>
      </c>
      <c r="F177" s="14" t="s">
        <v>21</v>
      </c>
      <c r="G177" s="14" t="s">
        <v>22</v>
      </c>
      <c r="H177" s="14" t="s">
        <v>44</v>
      </c>
      <c r="I177" s="14" t="s">
        <v>24</v>
      </c>
      <c r="J177" s="14" t="s">
        <v>88</v>
      </c>
      <c r="K177" s="16">
        <v>1.0500000000000001E-2</v>
      </c>
      <c r="L177" s="17">
        <v>45068</v>
      </c>
      <c r="M177" s="18">
        <v>10.62581767</v>
      </c>
      <c r="N177" s="18">
        <v>10.659689370000001</v>
      </c>
      <c r="O177" s="18">
        <v>10.70682534</v>
      </c>
      <c r="P177" s="18">
        <v>10.570555710000001</v>
      </c>
      <c r="Q177" s="18">
        <v>10.69719591</v>
      </c>
      <c r="R177" s="18">
        <v>10.71980052</v>
      </c>
      <c r="S177" s="18">
        <v>10.7607798</v>
      </c>
      <c r="T177" s="18">
        <v>10.71857327</v>
      </c>
      <c r="U177" s="19">
        <v>8.6999999999999994E-3</v>
      </c>
      <c r="V177" s="19">
        <v>6.2399999999999997E-2</v>
      </c>
      <c r="W177" s="19">
        <v>-1.34E-2</v>
      </c>
      <c r="X177" s="19">
        <v>1.32E-2</v>
      </c>
      <c r="Y177" s="19" t="s">
        <v>26</v>
      </c>
      <c r="Z177" s="19" t="s">
        <v>26</v>
      </c>
      <c r="AA177" s="20">
        <v>0</v>
      </c>
      <c r="AB177" s="21">
        <f>IFERROR(AVERAGE($V177:$Z177),"")</f>
        <v>2.0733333333333329E-2</v>
      </c>
      <c r="AC177" s="21">
        <f>IFERROR(_xlfn.STDEV.P($V177:$Z177),"")</f>
        <v>3.1400353855047913E-2</v>
      </c>
    </row>
    <row r="178" spans="1:29" ht="14.25" customHeight="1" x14ac:dyDescent="0.3">
      <c r="A178" s="14" t="s">
        <v>257</v>
      </c>
      <c r="B178" s="15" t="s">
        <v>251</v>
      </c>
      <c r="C178" s="14" t="s">
        <v>28</v>
      </c>
      <c r="D178" s="14" t="s">
        <v>48</v>
      </c>
      <c r="E178" s="14" t="s">
        <v>53</v>
      </c>
      <c r="F178" s="14" t="s">
        <v>21</v>
      </c>
      <c r="G178" s="14" t="s">
        <v>22</v>
      </c>
      <c r="H178" s="14" t="s">
        <v>44</v>
      </c>
      <c r="I178" s="14" t="s">
        <v>24</v>
      </c>
      <c r="J178" s="14" t="s">
        <v>88</v>
      </c>
      <c r="K178" s="16">
        <v>1.2500000000000001E-2</v>
      </c>
      <c r="L178" s="17">
        <v>45068</v>
      </c>
      <c r="M178" s="18">
        <v>10.04614692</v>
      </c>
      <c r="N178" s="18">
        <v>10.081755769999999</v>
      </c>
      <c r="O178" s="18">
        <v>10.12958879</v>
      </c>
      <c r="P178" s="18">
        <v>10.004228019999999</v>
      </c>
      <c r="Q178" s="18">
        <v>10.12756727</v>
      </c>
      <c r="R178" s="18">
        <v>10.152463579999999</v>
      </c>
      <c r="S178" s="18">
        <v>10.194899250000001</v>
      </c>
      <c r="T178" s="18">
        <v>10.1585248</v>
      </c>
      <c r="U178" s="19">
        <v>1.12E-2</v>
      </c>
      <c r="V178" s="19">
        <v>-8.0000000000000002E-3</v>
      </c>
      <c r="W178" s="19">
        <v>-5.7999999999999996E-3</v>
      </c>
      <c r="X178" s="19">
        <v>1.89E-2</v>
      </c>
      <c r="Y178" s="19" t="s">
        <v>26</v>
      </c>
      <c r="Z178" s="19" t="s">
        <v>26</v>
      </c>
      <c r="AA178" s="20">
        <v>0</v>
      </c>
      <c r="AB178" s="21">
        <f>IFERROR(AVERAGE($V178:$Z178),"")</f>
        <v>1.7000000000000001E-3</v>
      </c>
      <c r="AC178" s="21">
        <f>IFERROR(_xlfn.STDEV.P($V178:$Z178),"")</f>
        <v>1.2195354306729538E-2</v>
      </c>
    </row>
    <row r="179" spans="1:29" ht="14.25" customHeight="1" x14ac:dyDescent="0.3">
      <c r="A179" s="14" t="s">
        <v>258</v>
      </c>
      <c r="B179" s="15" t="s">
        <v>251</v>
      </c>
      <c r="C179" s="14" t="s">
        <v>28</v>
      </c>
      <c r="D179" s="14" t="s">
        <v>48</v>
      </c>
      <c r="E179" s="14" t="s">
        <v>49</v>
      </c>
      <c r="F179" s="14" t="s">
        <v>21</v>
      </c>
      <c r="G179" s="14" t="s">
        <v>29</v>
      </c>
      <c r="H179" s="14" t="s">
        <v>44</v>
      </c>
      <c r="I179" s="14" t="s">
        <v>24</v>
      </c>
      <c r="J179" s="14" t="s">
        <v>46</v>
      </c>
      <c r="K179" s="16">
        <v>7.0000000000000001E-3</v>
      </c>
      <c r="L179" s="17">
        <v>45842</v>
      </c>
      <c r="M179" s="18">
        <v>10.498634170000001</v>
      </c>
      <c r="N179" s="18">
        <v>10.55218644</v>
      </c>
      <c r="O179" s="18">
        <v>10.63965591</v>
      </c>
      <c r="P179" s="18">
        <v>10.35590814</v>
      </c>
      <c r="Q179" s="18">
        <v>10.46489629</v>
      </c>
      <c r="R179" s="18">
        <v>10.531282770000001</v>
      </c>
      <c r="S179" s="18">
        <v>10.63280883</v>
      </c>
      <c r="T179" s="18">
        <v>10.48816233</v>
      </c>
      <c r="U179" s="19">
        <v>-1E-3</v>
      </c>
      <c r="V179" s="19">
        <v>4.7899999999999998E-2</v>
      </c>
      <c r="W179" s="19" t="s">
        <v>26</v>
      </c>
      <c r="X179" s="19" t="s">
        <v>26</v>
      </c>
      <c r="Y179" s="19" t="s">
        <v>26</v>
      </c>
      <c r="Z179" s="19" t="s">
        <v>26</v>
      </c>
      <c r="AA179" s="20">
        <v>0</v>
      </c>
      <c r="AB179" s="21">
        <f>IFERROR(AVERAGE($V179:$Z179),"")</f>
        <v>4.7899999999999998E-2</v>
      </c>
      <c r="AC179" s="21">
        <f>IFERROR(_xlfn.STDEV.P($V179:$Z179),"")</f>
        <v>0</v>
      </c>
    </row>
    <row r="180" spans="1:29" ht="14.25" customHeight="1" x14ac:dyDescent="0.3">
      <c r="A180" s="14" t="s">
        <v>259</v>
      </c>
      <c r="B180" s="15" t="s">
        <v>251</v>
      </c>
      <c r="C180" s="14" t="s">
        <v>28</v>
      </c>
      <c r="D180" s="14" t="s">
        <v>48</v>
      </c>
      <c r="E180" s="14" t="s">
        <v>49</v>
      </c>
      <c r="F180" s="14" t="s">
        <v>21</v>
      </c>
      <c r="G180" s="14" t="s">
        <v>29</v>
      </c>
      <c r="H180" s="14" t="s">
        <v>44</v>
      </c>
      <c r="I180" s="14" t="s">
        <v>24</v>
      </c>
      <c r="J180" s="14" t="s">
        <v>46</v>
      </c>
      <c r="K180" s="16">
        <v>8.9999999999999993E-3</v>
      </c>
      <c r="L180" s="17">
        <v>45842</v>
      </c>
      <c r="M180" s="18">
        <v>10.486187190000001</v>
      </c>
      <c r="N180" s="18">
        <v>10.537534969999999</v>
      </c>
      <c r="O180" s="18">
        <v>10.622933379999999</v>
      </c>
      <c r="P180" s="18">
        <v>10.337529290000001</v>
      </c>
      <c r="Q180" s="18">
        <v>10.444270939999999</v>
      </c>
      <c r="R180" s="18">
        <v>10.508459800000001</v>
      </c>
      <c r="S180" s="18">
        <v>10.607609910000001</v>
      </c>
      <c r="T180" s="18">
        <v>10.461179810000001</v>
      </c>
      <c r="U180" s="19">
        <v>-2.3999999999999998E-3</v>
      </c>
      <c r="V180" s="19">
        <v>4.6600000000000003E-2</v>
      </c>
      <c r="W180" s="19" t="s">
        <v>26</v>
      </c>
      <c r="X180" s="19" t="s">
        <v>26</v>
      </c>
      <c r="Y180" s="19" t="s">
        <v>26</v>
      </c>
      <c r="Z180" s="19" t="s">
        <v>26</v>
      </c>
      <c r="AA180" s="20">
        <v>0</v>
      </c>
      <c r="AB180" s="21">
        <f>IFERROR(AVERAGE($V180:$Z180),"")</f>
        <v>4.6600000000000003E-2</v>
      </c>
      <c r="AC180" s="21">
        <f>IFERROR(_xlfn.STDEV.P($V180:$Z180),"")</f>
        <v>0</v>
      </c>
    </row>
    <row r="181" spans="1:29" ht="14.25" customHeight="1" x14ac:dyDescent="0.3">
      <c r="A181" s="14" t="s">
        <v>260</v>
      </c>
      <c r="B181" s="15" t="s">
        <v>261</v>
      </c>
      <c r="C181" s="14" t="s">
        <v>28</v>
      </c>
      <c r="D181" s="14" t="s">
        <v>41</v>
      </c>
      <c r="E181" s="14" t="s">
        <v>71</v>
      </c>
      <c r="F181" s="14" t="s">
        <v>43</v>
      </c>
      <c r="G181" s="14" t="s">
        <v>66</v>
      </c>
      <c r="H181" s="14" t="s">
        <v>44</v>
      </c>
      <c r="I181" s="14" t="s">
        <v>24</v>
      </c>
      <c r="J181" s="14" t="s">
        <v>46</v>
      </c>
      <c r="K181" s="16">
        <v>1.4E-2</v>
      </c>
      <c r="L181" s="17">
        <v>41809</v>
      </c>
      <c r="M181" s="18">
        <v>28.69311574</v>
      </c>
      <c r="N181" s="18">
        <v>28.528087880000001</v>
      </c>
      <c r="O181" s="18">
        <v>27.819623759999999</v>
      </c>
      <c r="P181" s="18">
        <v>25.09399522</v>
      </c>
      <c r="Q181" s="18">
        <v>28.694134160000001</v>
      </c>
      <c r="R181" s="18">
        <v>29.967239289999998</v>
      </c>
      <c r="S181" s="18">
        <v>28.98265851</v>
      </c>
      <c r="T181" s="18">
        <v>28.805425369999998</v>
      </c>
      <c r="U181" s="19">
        <v>3.8999999999999998E-3</v>
      </c>
      <c r="V181" s="19">
        <v>0.10920000000000001</v>
      </c>
      <c r="W181" s="19">
        <v>0.2261</v>
      </c>
      <c r="X181" s="19">
        <v>0.30520000000000003</v>
      </c>
      <c r="Y181" s="19">
        <v>-0.28520000000000001</v>
      </c>
      <c r="Z181" s="19">
        <v>0.26950000000000002</v>
      </c>
      <c r="AA181" s="20">
        <v>171205691.15000001</v>
      </c>
      <c r="AB181" s="21">
        <f>IFERROR(AVERAGE($V181:$Z181),"")</f>
        <v>0.12496</v>
      </c>
      <c r="AC181" s="21">
        <f>IFERROR(_xlfn.STDEV.P($V181:$Z181),"")</f>
        <v>0.21544705706971262</v>
      </c>
    </row>
    <row r="182" spans="1:29" ht="14.25" customHeight="1" x14ac:dyDescent="0.3">
      <c r="A182" s="14" t="s">
        <v>262</v>
      </c>
      <c r="B182" s="15" t="s">
        <v>261</v>
      </c>
      <c r="C182" s="14" t="s">
        <v>28</v>
      </c>
      <c r="D182" s="14" t="s">
        <v>41</v>
      </c>
      <c r="E182" s="14" t="s">
        <v>71</v>
      </c>
      <c r="F182" s="14" t="s">
        <v>43</v>
      </c>
      <c r="G182" s="14" t="s">
        <v>110</v>
      </c>
      <c r="H182" s="14" t="s">
        <v>44</v>
      </c>
      <c r="I182" s="14" t="s">
        <v>24</v>
      </c>
      <c r="J182" s="14" t="s">
        <v>46</v>
      </c>
      <c r="K182" s="16">
        <v>0.01</v>
      </c>
      <c r="L182" s="17">
        <v>43179</v>
      </c>
      <c r="M182" s="18">
        <v>13.615489050000001</v>
      </c>
      <c r="N182" s="18">
        <v>14.360860239999999</v>
      </c>
      <c r="O182" s="18">
        <v>14.162023850000001</v>
      </c>
      <c r="P182" s="18">
        <v>12.77294419</v>
      </c>
      <c r="Q182" s="18">
        <v>13.68480555</v>
      </c>
      <c r="R182" s="18">
        <v>14.251710490000001</v>
      </c>
      <c r="S182" s="18">
        <v>14.525322020000001</v>
      </c>
      <c r="T182" s="18">
        <v>14.72628117</v>
      </c>
      <c r="U182" s="19">
        <v>8.1600000000000006E-2</v>
      </c>
      <c r="V182" s="19">
        <v>0.23649999999999999</v>
      </c>
      <c r="W182" s="19">
        <v>1.37E-2</v>
      </c>
      <c r="X182" s="19">
        <v>0.23380000000000001</v>
      </c>
      <c r="Y182" s="19">
        <v>-0.26740000000000003</v>
      </c>
      <c r="Z182" s="19">
        <v>8.2900000000000001E-2</v>
      </c>
      <c r="AA182" s="20">
        <v>29417920.18</v>
      </c>
      <c r="AB182" s="21">
        <f>IFERROR(AVERAGE($V182:$Z182),"")</f>
        <v>5.9899999999999995E-2</v>
      </c>
      <c r="AC182" s="21">
        <f>IFERROR(_xlfn.STDEV.P($V182:$Z182),"")</f>
        <v>0.18504999324506879</v>
      </c>
    </row>
    <row r="183" spans="1:29" ht="14.25" customHeight="1" x14ac:dyDescent="0.3">
      <c r="A183" s="14" t="s">
        <v>263</v>
      </c>
      <c r="B183" s="15" t="s">
        <v>261</v>
      </c>
      <c r="C183" s="14" t="s">
        <v>28</v>
      </c>
      <c r="D183" s="14" t="s">
        <v>41</v>
      </c>
      <c r="E183" s="14" t="s">
        <v>71</v>
      </c>
      <c r="F183" s="14" t="s">
        <v>43</v>
      </c>
      <c r="G183" s="14" t="s">
        <v>59</v>
      </c>
      <c r="H183" s="14" t="s">
        <v>44</v>
      </c>
      <c r="I183" s="14" t="s">
        <v>45</v>
      </c>
      <c r="J183" s="14" t="s">
        <v>46</v>
      </c>
      <c r="K183" s="16">
        <v>0.01</v>
      </c>
      <c r="L183" s="17">
        <v>41870</v>
      </c>
      <c r="M183" s="18">
        <v>5.3268724499999998</v>
      </c>
      <c r="N183" s="18">
        <v>5.8197101699999996</v>
      </c>
      <c r="O183" s="18">
        <v>6.0228118200000003</v>
      </c>
      <c r="P183" s="18">
        <v>5.4695429899999999</v>
      </c>
      <c r="Q183" s="18">
        <v>5.8955975199999999</v>
      </c>
      <c r="R183" s="18">
        <v>6.2020317599999997</v>
      </c>
      <c r="S183" s="18">
        <v>6.31994028</v>
      </c>
      <c r="T183" s="18">
        <v>6.1311480700000001</v>
      </c>
      <c r="U183" s="19">
        <v>0.151</v>
      </c>
      <c r="V183" s="19">
        <v>0.31219999999999998</v>
      </c>
      <c r="W183" s="19">
        <v>-1.2800000000000001E-2</v>
      </c>
      <c r="X183" s="19">
        <v>6.2899999999999998E-2</v>
      </c>
      <c r="Y183" s="19">
        <v>-0.33069999999999999</v>
      </c>
      <c r="Z183" s="19">
        <v>-9.7000000000000003E-3</v>
      </c>
      <c r="AA183" s="20">
        <v>32492175.920000002</v>
      </c>
      <c r="AB183" s="21">
        <f>IFERROR(AVERAGE($V183:$Z183),"")</f>
        <v>4.3800000000000037E-3</v>
      </c>
      <c r="AC183" s="21">
        <f>IFERROR(_xlfn.STDEV.P($V183:$Z183),"")</f>
        <v>0.20540192209421992</v>
      </c>
    </row>
    <row r="184" spans="1:29" ht="14.25" customHeight="1" x14ac:dyDescent="0.3">
      <c r="A184" s="14" t="s">
        <v>264</v>
      </c>
      <c r="B184" s="15" t="s">
        <v>261</v>
      </c>
      <c r="C184" s="14" t="s">
        <v>28</v>
      </c>
      <c r="D184" s="14" t="s">
        <v>48</v>
      </c>
      <c r="E184" s="14" t="s">
        <v>49</v>
      </c>
      <c r="F184" s="14" t="s">
        <v>21</v>
      </c>
      <c r="G184" s="14" t="s">
        <v>29</v>
      </c>
      <c r="H184" s="14" t="s">
        <v>44</v>
      </c>
      <c r="I184" s="14" t="s">
        <v>45</v>
      </c>
      <c r="J184" s="14" t="s">
        <v>46</v>
      </c>
      <c r="K184" s="16">
        <v>5.0000000000000001E-3</v>
      </c>
      <c r="L184" s="17">
        <v>45133</v>
      </c>
      <c r="M184" s="18">
        <v>1212.2470221900001</v>
      </c>
      <c r="N184" s="18">
        <v>1218.33173547</v>
      </c>
      <c r="O184" s="18">
        <v>1227.9615668399999</v>
      </c>
      <c r="P184" s="18">
        <v>1194.8189786200001</v>
      </c>
      <c r="Q184" s="18">
        <v>1207.6610964199999</v>
      </c>
      <c r="R184" s="18">
        <v>1214.34172431</v>
      </c>
      <c r="S184" s="18">
        <v>1225.7535433099999</v>
      </c>
      <c r="T184" s="18">
        <v>1209.7540545899999</v>
      </c>
      <c r="U184" s="19">
        <v>-2.0999999999999999E-3</v>
      </c>
      <c r="V184" s="19">
        <v>9.2299999999999993E-2</v>
      </c>
      <c r="W184" s="19">
        <v>4.8899999999999999E-2</v>
      </c>
      <c r="X184" s="19">
        <v>4.7300000000000002E-2</v>
      </c>
      <c r="Y184" s="19" t="s">
        <v>26</v>
      </c>
      <c r="Z184" s="19" t="s">
        <v>26</v>
      </c>
      <c r="AA184" s="20">
        <v>258842911.99000001</v>
      </c>
      <c r="AB184" s="21">
        <f>IFERROR(AVERAGE($V184:$Z184),"")</f>
        <v>6.2833333333333338E-2</v>
      </c>
      <c r="AC184" s="21">
        <f>IFERROR(_xlfn.STDEV.P($V184:$Z184),"")</f>
        <v>2.0846315954836925E-2</v>
      </c>
    </row>
    <row r="185" spans="1:29" ht="14.25" customHeight="1" x14ac:dyDescent="0.3">
      <c r="A185" s="14" t="s">
        <v>265</v>
      </c>
      <c r="B185" s="15" t="s">
        <v>261</v>
      </c>
      <c r="C185" s="14" t="s">
        <v>28</v>
      </c>
      <c r="D185" s="14" t="s">
        <v>48</v>
      </c>
      <c r="E185" s="14" t="s">
        <v>53</v>
      </c>
      <c r="F185" s="14" t="s">
        <v>21</v>
      </c>
      <c r="G185" s="14" t="s">
        <v>22</v>
      </c>
      <c r="H185" s="14" t="s">
        <v>44</v>
      </c>
      <c r="I185" s="14" t="s">
        <v>24</v>
      </c>
      <c r="J185" s="14" t="s">
        <v>88</v>
      </c>
      <c r="K185" s="16">
        <v>4.0000000000000001E-3</v>
      </c>
      <c r="L185" s="17">
        <v>45041</v>
      </c>
      <c r="M185" s="18">
        <v>1184.00924377</v>
      </c>
      <c r="N185" s="18">
        <v>1135.4427303499999</v>
      </c>
      <c r="O185" s="18">
        <v>1140.4780889599999</v>
      </c>
      <c r="P185" s="18">
        <v>1129.9111335299999</v>
      </c>
      <c r="Q185" s="18">
        <v>1141.6876010200001</v>
      </c>
      <c r="R185" s="18">
        <v>1153.17136931</v>
      </c>
      <c r="S185" s="18">
        <v>1155.7751233700001</v>
      </c>
      <c r="T185" s="18">
        <v>1104.0150535600001</v>
      </c>
      <c r="U185" s="19">
        <v>-6.7599999999999993E-2</v>
      </c>
      <c r="V185" s="19">
        <v>2.5700000000000001E-2</v>
      </c>
      <c r="W185" s="19">
        <v>1.1299999999999999E-2</v>
      </c>
      <c r="X185" s="19">
        <v>0.1371</v>
      </c>
      <c r="Y185" s="19" t="s">
        <v>26</v>
      </c>
      <c r="Z185" s="19" t="s">
        <v>26</v>
      </c>
      <c r="AA185" s="20">
        <v>9744776.6799999997</v>
      </c>
      <c r="AB185" s="21">
        <f>IFERROR(AVERAGE($V185:$Z185),"")</f>
        <v>5.8033333333333333E-2</v>
      </c>
      <c r="AC185" s="21">
        <f>IFERROR(_xlfn.STDEV.P($V185:$Z185),"")</f>
        <v>5.6216802549494828E-2</v>
      </c>
    </row>
    <row r="186" spans="1:29" ht="14.25" customHeight="1" x14ac:dyDescent="0.3">
      <c r="A186" s="14" t="s">
        <v>266</v>
      </c>
      <c r="B186" s="15" t="s">
        <v>261</v>
      </c>
      <c r="C186" s="14" t="s">
        <v>28</v>
      </c>
      <c r="D186" s="14" t="s">
        <v>48</v>
      </c>
      <c r="E186" s="14" t="s">
        <v>53</v>
      </c>
      <c r="F186" s="14" t="s">
        <v>21</v>
      </c>
      <c r="G186" s="14" t="s">
        <v>22</v>
      </c>
      <c r="H186" s="14" t="s">
        <v>44</v>
      </c>
      <c r="I186" s="14" t="s">
        <v>24</v>
      </c>
      <c r="J186" s="14" t="s">
        <v>88</v>
      </c>
      <c r="K186" s="16">
        <v>8.9999999999999993E-3</v>
      </c>
      <c r="L186" s="17">
        <v>45904</v>
      </c>
      <c r="M186" s="18">
        <v>1055.37405455</v>
      </c>
      <c r="N186" s="18">
        <v>1046.8095530099999</v>
      </c>
      <c r="O186" s="18">
        <v>1047.8187675199999</v>
      </c>
      <c r="P186" s="18">
        <v>1003.19859189</v>
      </c>
      <c r="Q186" s="18">
        <v>1050.52141708</v>
      </c>
      <c r="R186" s="18">
        <v>1078.3922839899999</v>
      </c>
      <c r="S186" s="18">
        <v>1090.1871555800001</v>
      </c>
      <c r="T186" s="18">
        <v>1046.0221166700001</v>
      </c>
      <c r="U186" s="19">
        <v>-8.8999999999999999E-3</v>
      </c>
      <c r="V186" s="19">
        <v>5.4699999999999999E-2</v>
      </c>
      <c r="W186" s="19" t="s">
        <v>26</v>
      </c>
      <c r="X186" s="19" t="s">
        <v>26</v>
      </c>
      <c r="Y186" s="19" t="s">
        <v>26</v>
      </c>
      <c r="Z186" s="19" t="s">
        <v>26</v>
      </c>
      <c r="AA186" s="20">
        <v>41864164.810000002</v>
      </c>
      <c r="AB186" s="21">
        <f>IFERROR(AVERAGE($V186:$Z186),"")</f>
        <v>5.4699999999999999E-2</v>
      </c>
      <c r="AC186" s="21">
        <f>IFERROR(_xlfn.STDEV.P($V186:$Z186),"")</f>
        <v>0</v>
      </c>
    </row>
    <row r="187" spans="1:29" ht="14.25" customHeight="1" x14ac:dyDescent="0.3">
      <c r="A187" s="14" t="s">
        <v>267</v>
      </c>
      <c r="B187" s="15" t="s">
        <v>261</v>
      </c>
      <c r="C187" s="14" t="s">
        <v>28</v>
      </c>
      <c r="D187" s="14" t="s">
        <v>48</v>
      </c>
      <c r="E187" s="14" t="s">
        <v>53</v>
      </c>
      <c r="F187" s="14" t="s">
        <v>21</v>
      </c>
      <c r="G187" s="14" t="s">
        <v>22</v>
      </c>
      <c r="H187" s="14" t="s">
        <v>44</v>
      </c>
      <c r="I187" s="14" t="s">
        <v>24</v>
      </c>
      <c r="J187" s="14" t="s">
        <v>88</v>
      </c>
      <c r="K187" s="16">
        <v>1.2999999999999999E-2</v>
      </c>
      <c r="L187" s="17">
        <v>45055</v>
      </c>
      <c r="M187" s="18">
        <v>1161.0458666699999</v>
      </c>
      <c r="N187" s="18">
        <v>1122.26725526</v>
      </c>
      <c r="O187" s="18">
        <v>1125.99690865</v>
      </c>
      <c r="P187" s="18">
        <v>1113.68523164</v>
      </c>
      <c r="Q187" s="18">
        <v>1122.8587413</v>
      </c>
      <c r="R187" s="18">
        <v>1131.4292799499999</v>
      </c>
      <c r="S187" s="18">
        <v>1132.24907467</v>
      </c>
      <c r="T187" s="18">
        <v>1090.06526689</v>
      </c>
      <c r="U187" s="19">
        <v>-6.1100000000000002E-2</v>
      </c>
      <c r="V187" s="19">
        <v>1.7600000000000001E-2</v>
      </c>
      <c r="W187" s="19">
        <v>3.8999999999999998E-3</v>
      </c>
      <c r="X187" s="19">
        <v>0.13070000000000001</v>
      </c>
      <c r="Y187" s="19" t="s">
        <v>26</v>
      </c>
      <c r="Z187" s="19" t="s">
        <v>26</v>
      </c>
      <c r="AA187" s="20">
        <v>23358872.760000002</v>
      </c>
      <c r="AB187" s="21">
        <f>IFERROR(AVERAGE($V187:$Z187),"")</f>
        <v>5.0733333333333332E-2</v>
      </c>
      <c r="AC187" s="21">
        <f>IFERROR(_xlfn.STDEV.P($V187:$Z187),"")</f>
        <v>5.682090773259045E-2</v>
      </c>
    </row>
    <row r="188" spans="1:29" ht="14.25" customHeight="1" x14ac:dyDescent="0.3">
      <c r="A188" s="14" t="s">
        <v>268</v>
      </c>
      <c r="B188" s="15" t="s">
        <v>261</v>
      </c>
      <c r="C188" s="14" t="s">
        <v>18</v>
      </c>
      <c r="D188" s="14" t="s">
        <v>48</v>
      </c>
      <c r="E188" s="14" t="s">
        <v>53</v>
      </c>
      <c r="F188" s="14" t="s">
        <v>21</v>
      </c>
      <c r="G188" s="14" t="s">
        <v>22</v>
      </c>
      <c r="H188" s="14" t="s">
        <v>23</v>
      </c>
      <c r="I188" s="14" t="s">
        <v>24</v>
      </c>
      <c r="J188" s="14" t="s">
        <v>88</v>
      </c>
      <c r="K188" s="16">
        <v>8.9999999999999993E-3</v>
      </c>
      <c r="L188" s="17">
        <v>45350</v>
      </c>
      <c r="M188" s="18">
        <v>10.984640110000001</v>
      </c>
      <c r="N188" s="18">
        <v>11.03776339</v>
      </c>
      <c r="O188" s="18">
        <v>11.06896439</v>
      </c>
      <c r="P188" s="18">
        <v>11.07958301</v>
      </c>
      <c r="Q188" s="18">
        <v>11.13300046</v>
      </c>
      <c r="R188" s="18">
        <v>11.18901827</v>
      </c>
      <c r="S188" s="18">
        <v>11.24495261</v>
      </c>
      <c r="T188" s="18">
        <v>11.28180779</v>
      </c>
      <c r="U188" s="19">
        <v>2.7099999999999999E-2</v>
      </c>
      <c r="V188" s="19">
        <v>4.8500000000000001E-2</v>
      </c>
      <c r="W188" s="19">
        <v>4.2700000000000002E-2</v>
      </c>
      <c r="X188" s="19" t="s">
        <v>26</v>
      </c>
      <c r="Y188" s="19" t="s">
        <v>26</v>
      </c>
      <c r="Z188" s="19" t="s">
        <v>26</v>
      </c>
      <c r="AA188" s="20">
        <v>981006496.74000001</v>
      </c>
      <c r="AB188" s="21">
        <f>IFERROR(AVERAGE($V188:$Z188),"")</f>
        <v>4.5600000000000002E-2</v>
      </c>
      <c r="AC188" s="21">
        <f>IFERROR(_xlfn.STDEV.P($V188:$Z188),"")</f>
        <v>2.8999999999999998E-3</v>
      </c>
    </row>
    <row r="189" spans="1:29" ht="14.25" customHeight="1" x14ac:dyDescent="0.3">
      <c r="A189" s="14" t="s">
        <v>269</v>
      </c>
      <c r="B189" s="15" t="s">
        <v>261</v>
      </c>
      <c r="C189" s="14" t="s">
        <v>18</v>
      </c>
      <c r="D189" s="14" t="s">
        <v>48</v>
      </c>
      <c r="E189" s="14" t="s">
        <v>53</v>
      </c>
      <c r="F189" s="14" t="s">
        <v>21</v>
      </c>
      <c r="G189" s="14" t="s">
        <v>22</v>
      </c>
      <c r="H189" s="14" t="s">
        <v>54</v>
      </c>
      <c r="I189" s="14" t="s">
        <v>24</v>
      </c>
      <c r="J189" s="14" t="s">
        <v>88</v>
      </c>
      <c r="K189" s="16">
        <v>0.01</v>
      </c>
      <c r="L189" s="17">
        <v>45631</v>
      </c>
      <c r="M189" s="18">
        <v>10.79974058</v>
      </c>
      <c r="N189" s="18">
        <v>10.87274682</v>
      </c>
      <c r="O189" s="18">
        <v>10.89790754</v>
      </c>
      <c r="P189" s="18">
        <v>10.801885540000001</v>
      </c>
      <c r="Q189" s="18">
        <v>10.904048960000001</v>
      </c>
      <c r="R189" s="18">
        <v>10.9864099</v>
      </c>
      <c r="S189" s="18">
        <v>11.082593019999999</v>
      </c>
      <c r="T189" s="18">
        <v>11.103298629999999</v>
      </c>
      <c r="U189" s="19">
        <v>2.81E-2</v>
      </c>
      <c r="V189" s="19">
        <v>6.4699999999999994E-2</v>
      </c>
      <c r="W189" s="19">
        <v>3.5000000000000001E-3</v>
      </c>
      <c r="X189" s="19" t="s">
        <v>26</v>
      </c>
      <c r="Y189" s="19" t="s">
        <v>26</v>
      </c>
      <c r="Z189" s="19" t="s">
        <v>26</v>
      </c>
      <c r="AA189" s="20">
        <v>252100548.06999999</v>
      </c>
      <c r="AB189" s="21">
        <f>IFERROR(AVERAGE($V189:$Z189),"")</f>
        <v>3.4099999999999998E-2</v>
      </c>
      <c r="AC189" s="21">
        <f>IFERROR(_xlfn.STDEV.P($V189:$Z189),"")</f>
        <v>3.0599999999999995E-2</v>
      </c>
    </row>
    <row r="190" spans="1:29" ht="14.25" customHeight="1" x14ac:dyDescent="0.3">
      <c r="A190" s="14" t="s">
        <v>270</v>
      </c>
      <c r="B190" s="15" t="s">
        <v>261</v>
      </c>
      <c r="C190" s="14" t="s">
        <v>28</v>
      </c>
      <c r="D190" s="14" t="s">
        <v>48</v>
      </c>
      <c r="E190" s="14" t="s">
        <v>53</v>
      </c>
      <c r="F190" s="14" t="s">
        <v>21</v>
      </c>
      <c r="G190" s="14" t="s">
        <v>22</v>
      </c>
      <c r="H190" s="14" t="s">
        <v>23</v>
      </c>
      <c r="I190" s="14" t="s">
        <v>24</v>
      </c>
      <c r="J190" s="14" t="s">
        <v>88</v>
      </c>
      <c r="K190" s="16">
        <v>8.9999999999999993E-3</v>
      </c>
      <c r="L190" s="17">
        <v>45261</v>
      </c>
      <c r="M190" s="18">
        <v>11.172162399999999</v>
      </c>
      <c r="N190" s="18">
        <v>11.203619120000001</v>
      </c>
      <c r="O190" s="18">
        <v>11.24281116</v>
      </c>
      <c r="P190" s="18">
        <v>11.239261600000001</v>
      </c>
      <c r="Q190" s="18">
        <v>11.28625126</v>
      </c>
      <c r="R190" s="18">
        <v>11.308800829999999</v>
      </c>
      <c r="S190" s="18">
        <v>11.337955259999999</v>
      </c>
      <c r="T190" s="18">
        <v>11.35619837</v>
      </c>
      <c r="U190" s="19">
        <v>1.6500000000000001E-2</v>
      </c>
      <c r="V190" s="19">
        <v>4.4299999999999999E-2</v>
      </c>
      <c r="W190" s="19">
        <v>4.8800000000000003E-2</v>
      </c>
      <c r="X190" s="19">
        <v>5.7000000000000002E-3</v>
      </c>
      <c r="Y190" s="19" t="s">
        <v>26</v>
      </c>
      <c r="Z190" s="19" t="s">
        <v>26</v>
      </c>
      <c r="AA190" s="20">
        <v>2812131434.23</v>
      </c>
      <c r="AB190" s="21">
        <f>IFERROR(AVERAGE($V190:$Z190),"")</f>
        <v>3.2933333333333335E-2</v>
      </c>
      <c r="AC190" s="21">
        <f>IFERROR(_xlfn.STDEV.P($V190:$Z190),"")</f>
        <v>1.9344307230351319E-2</v>
      </c>
    </row>
    <row r="191" spans="1:29" ht="14.25" customHeight="1" x14ac:dyDescent="0.3">
      <c r="A191" s="14" t="s">
        <v>271</v>
      </c>
      <c r="B191" s="15" t="s">
        <v>261</v>
      </c>
      <c r="C191" s="14" t="s">
        <v>28</v>
      </c>
      <c r="D191" s="14" t="s">
        <v>48</v>
      </c>
      <c r="E191" s="14" t="s">
        <v>53</v>
      </c>
      <c r="F191" s="14" t="s">
        <v>21</v>
      </c>
      <c r="G191" s="14" t="s">
        <v>22</v>
      </c>
      <c r="H191" s="14" t="s">
        <v>44</v>
      </c>
      <c r="I191" s="14" t="s">
        <v>24</v>
      </c>
      <c r="J191" s="14" t="s">
        <v>88</v>
      </c>
      <c r="K191" s="16">
        <v>4.0000000000000002E-4</v>
      </c>
      <c r="L191" s="17">
        <v>44908</v>
      </c>
      <c r="M191" s="18">
        <v>1118.0766728999999</v>
      </c>
      <c r="N191" s="18">
        <v>1084.1169741799999</v>
      </c>
      <c r="O191" s="18">
        <v>1088.78249211</v>
      </c>
      <c r="P191" s="18">
        <v>1074.9591979300001</v>
      </c>
      <c r="Q191" s="18">
        <v>1085.8297207600001</v>
      </c>
      <c r="R191" s="18">
        <v>1092.1435200799999</v>
      </c>
      <c r="S191" s="18">
        <v>1094.94534595</v>
      </c>
      <c r="T191" s="18">
        <v>1054.4289129700001</v>
      </c>
      <c r="U191" s="19">
        <v>-5.6899999999999999E-2</v>
      </c>
      <c r="V191" s="19">
        <v>-7.0000000000000001E-3</v>
      </c>
      <c r="W191" s="19">
        <v>-1.9800000000000002E-2</v>
      </c>
      <c r="X191" s="19">
        <v>0.19259999999999999</v>
      </c>
      <c r="Y191" s="19">
        <v>-3.9800000000000002E-2</v>
      </c>
      <c r="Z191" s="19" t="s">
        <v>26</v>
      </c>
      <c r="AA191" s="20">
        <v>54758747.060000002</v>
      </c>
      <c r="AB191" s="21">
        <f>IFERROR(AVERAGE($V191:$Z191),"")</f>
        <v>3.15E-2</v>
      </c>
      <c r="AC191" s="21">
        <f>IFERROR(_xlfn.STDEV.P($V191:$Z191),"")</f>
        <v>9.3742786389140353E-2</v>
      </c>
    </row>
    <row r="192" spans="1:29" ht="14.25" customHeight="1" x14ac:dyDescent="0.3">
      <c r="A192" s="14" t="s">
        <v>272</v>
      </c>
      <c r="B192" s="15" t="s">
        <v>261</v>
      </c>
      <c r="C192" s="14" t="s">
        <v>28</v>
      </c>
      <c r="D192" s="14" t="s">
        <v>48</v>
      </c>
      <c r="E192" s="14" t="s">
        <v>53</v>
      </c>
      <c r="F192" s="14" t="s">
        <v>21</v>
      </c>
      <c r="G192" s="14" t="s">
        <v>22</v>
      </c>
      <c r="H192" s="14" t="s">
        <v>44</v>
      </c>
      <c r="I192" s="14" t="s">
        <v>24</v>
      </c>
      <c r="J192" s="14" t="s">
        <v>88</v>
      </c>
      <c r="K192" s="16">
        <v>9.1000000000000004E-3</v>
      </c>
      <c r="L192" s="17">
        <v>44789</v>
      </c>
      <c r="M192" s="18">
        <v>1120.2505414899999</v>
      </c>
      <c r="N192" s="18">
        <v>1082.66321023</v>
      </c>
      <c r="O192" s="18">
        <v>1085.37011229</v>
      </c>
      <c r="P192" s="18">
        <v>1073.66668039</v>
      </c>
      <c r="Q192" s="18">
        <v>1083.7226596600001</v>
      </c>
      <c r="R192" s="18">
        <v>1088.7378621299999</v>
      </c>
      <c r="S192" s="18">
        <v>1090.33719821</v>
      </c>
      <c r="T192" s="18">
        <v>1052.1295443199999</v>
      </c>
      <c r="U192" s="19">
        <v>-6.08E-2</v>
      </c>
      <c r="V192" s="19">
        <v>-1.78E-2</v>
      </c>
      <c r="W192" s="19">
        <v>-2.4199999999999999E-2</v>
      </c>
      <c r="X192" s="19">
        <v>0.1472</v>
      </c>
      <c r="Y192" s="19">
        <v>1.6799999999999999E-2</v>
      </c>
      <c r="Z192" s="19" t="s">
        <v>26</v>
      </c>
      <c r="AA192" s="20">
        <v>94454600.030000001</v>
      </c>
      <c r="AB192" s="21">
        <f>IFERROR(AVERAGE($V192:$Z192),"")</f>
        <v>3.0499999999999999E-2</v>
      </c>
      <c r="AC192" s="21">
        <f>IFERROR(_xlfn.STDEV.P($V192:$Z192),"")</f>
        <v>6.9158441277981389E-2</v>
      </c>
    </row>
    <row r="193" spans="1:29" ht="14.25" customHeight="1" x14ac:dyDescent="0.3">
      <c r="A193" s="14" t="s">
        <v>273</v>
      </c>
      <c r="B193" s="15" t="s">
        <v>261</v>
      </c>
      <c r="C193" s="14" t="s">
        <v>28</v>
      </c>
      <c r="D193" s="14" t="s">
        <v>48</v>
      </c>
      <c r="E193" s="14" t="s">
        <v>53</v>
      </c>
      <c r="F193" s="14" t="s">
        <v>21</v>
      </c>
      <c r="G193" s="14" t="s">
        <v>22</v>
      </c>
      <c r="H193" s="14" t="s">
        <v>54</v>
      </c>
      <c r="I193" s="14" t="s">
        <v>24</v>
      </c>
      <c r="J193" s="14" t="s">
        <v>88</v>
      </c>
      <c r="K193" s="16">
        <v>0.01</v>
      </c>
      <c r="L193" s="17">
        <v>45622</v>
      </c>
      <c r="M193" s="18">
        <v>10.638923289999999</v>
      </c>
      <c r="N193" s="18">
        <v>10.664578349999999</v>
      </c>
      <c r="O193" s="18">
        <v>10.7177051</v>
      </c>
      <c r="P193" s="18">
        <v>10.606537360000001</v>
      </c>
      <c r="Q193" s="18">
        <v>10.71114113</v>
      </c>
      <c r="R193" s="18">
        <v>10.708647989999999</v>
      </c>
      <c r="S193" s="18">
        <v>10.7443042</v>
      </c>
      <c r="T193" s="18">
        <v>10.71919636</v>
      </c>
      <c r="U193" s="19">
        <v>7.4999999999999997E-3</v>
      </c>
      <c r="V193" s="19">
        <v>5.4399999999999997E-2</v>
      </c>
      <c r="W193" s="19">
        <v>5.0000000000000001E-4</v>
      </c>
      <c r="X193" s="19" t="s">
        <v>26</v>
      </c>
      <c r="Y193" s="19" t="s">
        <v>26</v>
      </c>
      <c r="Z193" s="19" t="s">
        <v>26</v>
      </c>
      <c r="AA193" s="20">
        <v>797171643.70000005</v>
      </c>
      <c r="AB193" s="21">
        <f>IFERROR(AVERAGE($V193:$Z193),"")</f>
        <v>2.7449999999999999E-2</v>
      </c>
      <c r="AC193" s="21">
        <f>IFERROR(_xlfn.STDEV.P($V193:$Z193),"")</f>
        <v>2.6949999999999998E-2</v>
      </c>
    </row>
    <row r="194" spans="1:29" ht="14.25" customHeight="1" x14ac:dyDescent="0.3">
      <c r="A194" s="14" t="s">
        <v>274</v>
      </c>
      <c r="B194" s="15" t="s">
        <v>261</v>
      </c>
      <c r="C194" s="14" t="s">
        <v>28</v>
      </c>
      <c r="D194" s="14" t="s">
        <v>48</v>
      </c>
      <c r="E194" s="14" t="s">
        <v>53</v>
      </c>
      <c r="F194" s="14" t="s">
        <v>21</v>
      </c>
      <c r="G194" s="14" t="s">
        <v>22</v>
      </c>
      <c r="H194" s="14" t="s">
        <v>44</v>
      </c>
      <c r="I194" s="14" t="s">
        <v>24</v>
      </c>
      <c r="J194" s="14" t="s">
        <v>88</v>
      </c>
      <c r="K194" s="16">
        <v>1.18E-2</v>
      </c>
      <c r="L194" s="17">
        <v>44685</v>
      </c>
      <c r="M194" s="18">
        <v>1089.4087911700001</v>
      </c>
      <c r="N194" s="18">
        <v>1054.9186006699999</v>
      </c>
      <c r="O194" s="18">
        <v>1056.83472663</v>
      </c>
      <c r="P194" s="18">
        <v>1047.67180398</v>
      </c>
      <c r="Q194" s="18">
        <v>1056.2353917</v>
      </c>
      <c r="R194" s="18">
        <v>1061.0568031099999</v>
      </c>
      <c r="S194" s="18">
        <v>1062.7086989500001</v>
      </c>
      <c r="T194" s="18">
        <v>1029.4057685499999</v>
      </c>
      <c r="U194" s="19">
        <v>-5.5100000000000003E-2</v>
      </c>
      <c r="V194" s="19">
        <v>-1.7100000000000001E-2</v>
      </c>
      <c r="W194" s="19">
        <v>-2.5999999999999999E-2</v>
      </c>
      <c r="X194" s="19">
        <v>8.4099999999999994E-2</v>
      </c>
      <c r="Y194" s="19">
        <v>4.9099999999999998E-2</v>
      </c>
      <c r="Z194" s="19" t="s">
        <v>26</v>
      </c>
      <c r="AA194" s="20">
        <v>106058767.73</v>
      </c>
      <c r="AB194" s="21">
        <f>IFERROR(AVERAGE($V194:$Z194),"")</f>
        <v>2.2524999999999996E-2</v>
      </c>
      <c r="AC194" s="21">
        <f>IFERROR(_xlfn.STDEV.P($V194:$Z194),"")</f>
        <v>4.5887164599700422E-2</v>
      </c>
    </row>
    <row r="195" spans="1:29" ht="14.25" customHeight="1" x14ac:dyDescent="0.3">
      <c r="A195" s="14" t="s">
        <v>275</v>
      </c>
      <c r="B195" s="15" t="s">
        <v>261</v>
      </c>
      <c r="C195" s="14" t="s">
        <v>28</v>
      </c>
      <c r="D195" s="14" t="s">
        <v>48</v>
      </c>
      <c r="E195" s="14" t="s">
        <v>53</v>
      </c>
      <c r="F195" s="14" t="s">
        <v>65</v>
      </c>
      <c r="G195" s="14" t="s">
        <v>29</v>
      </c>
      <c r="H195" s="14" t="s">
        <v>44</v>
      </c>
      <c r="I195" s="14" t="s">
        <v>24</v>
      </c>
      <c r="J195" s="14" t="s">
        <v>46</v>
      </c>
      <c r="K195" s="16">
        <v>0.01</v>
      </c>
      <c r="L195" s="17">
        <v>43187</v>
      </c>
      <c r="M195" s="18">
        <v>11.906233500000001</v>
      </c>
      <c r="N195" s="18">
        <v>11.97930869</v>
      </c>
      <c r="O195" s="18">
        <v>12.01044791</v>
      </c>
      <c r="P195" s="18">
        <v>11.82424666</v>
      </c>
      <c r="Q195" s="18">
        <v>11.99380002</v>
      </c>
      <c r="R195" s="18">
        <v>12.07020908</v>
      </c>
      <c r="S195" s="18">
        <v>12.131173309999999</v>
      </c>
      <c r="T195" s="18">
        <v>12.18444251</v>
      </c>
      <c r="U195" s="19">
        <v>2.3400000000000001E-2</v>
      </c>
      <c r="V195" s="19">
        <v>5.7099999999999998E-2</v>
      </c>
      <c r="W195" s="19">
        <v>4.4900000000000002E-2</v>
      </c>
      <c r="X195" s="19">
        <v>9.9900000000000003E-2</v>
      </c>
      <c r="Y195" s="19">
        <v>-0.12859999999999999</v>
      </c>
      <c r="Z195" s="19">
        <v>1.72E-2</v>
      </c>
      <c r="AA195" s="20">
        <v>98449857.489999995</v>
      </c>
      <c r="AB195" s="21">
        <f>IFERROR(AVERAGE($V195:$Z195),"")</f>
        <v>1.8100000000000005E-2</v>
      </c>
      <c r="AC195" s="21">
        <f>IFERROR(_xlfn.STDEV.P($V195:$Z195),"")</f>
        <v>7.804124550518142E-2</v>
      </c>
    </row>
    <row r="196" spans="1:29" ht="14.25" customHeight="1" x14ac:dyDescent="0.3">
      <c r="A196" s="14" t="s">
        <v>276</v>
      </c>
      <c r="B196" s="15" t="s">
        <v>261</v>
      </c>
      <c r="C196" s="14" t="s">
        <v>28</v>
      </c>
      <c r="D196" s="14" t="s">
        <v>48</v>
      </c>
      <c r="E196" s="14" t="s">
        <v>53</v>
      </c>
      <c r="F196" s="14" t="s">
        <v>21</v>
      </c>
      <c r="G196" s="14" t="s">
        <v>22</v>
      </c>
      <c r="H196" s="14" t="s">
        <v>44</v>
      </c>
      <c r="I196" s="14" t="s">
        <v>24</v>
      </c>
      <c r="J196" s="14" t="s">
        <v>88</v>
      </c>
      <c r="K196" s="16">
        <v>0.01</v>
      </c>
      <c r="L196" s="17">
        <v>45174</v>
      </c>
      <c r="M196" s="18">
        <v>1049.54888231</v>
      </c>
      <c r="N196" s="18">
        <v>1023.11884428</v>
      </c>
      <c r="O196" s="18">
        <v>1025.1751027600001</v>
      </c>
      <c r="P196" s="18">
        <v>1026.92497426</v>
      </c>
      <c r="Q196" s="18">
        <v>1029.8054068900001</v>
      </c>
      <c r="R196" s="18">
        <v>1032.4063570000001</v>
      </c>
      <c r="S196" s="18">
        <v>1034.59457744</v>
      </c>
      <c r="T196" s="18">
        <v>1008.94643839</v>
      </c>
      <c r="U196" s="19">
        <v>-3.8699999999999998E-2</v>
      </c>
      <c r="V196" s="19">
        <v>-9.7999999999999997E-3</v>
      </c>
      <c r="W196" s="19">
        <v>-1.9E-3</v>
      </c>
      <c r="X196" s="19">
        <v>5.8400000000000001E-2</v>
      </c>
      <c r="Y196" s="19" t="s">
        <v>26</v>
      </c>
      <c r="Z196" s="19" t="s">
        <v>26</v>
      </c>
      <c r="AA196" s="20">
        <v>23901094.109999999</v>
      </c>
      <c r="AB196" s="21">
        <f>IFERROR(AVERAGE($V196:$Z196),"")</f>
        <v>1.5566666666666666E-2</v>
      </c>
      <c r="AC196" s="21">
        <f>IFERROR(_xlfn.STDEV.P($V196:$Z196),"")</f>
        <v>3.0458970581569055E-2</v>
      </c>
    </row>
    <row r="197" spans="1:29" ht="14.25" customHeight="1" x14ac:dyDescent="0.3">
      <c r="A197" s="14" t="s">
        <v>277</v>
      </c>
      <c r="B197" s="15" t="s">
        <v>261</v>
      </c>
      <c r="C197" s="14" t="s">
        <v>18</v>
      </c>
      <c r="D197" s="14" t="s">
        <v>48</v>
      </c>
      <c r="E197" s="14" t="s">
        <v>53</v>
      </c>
      <c r="F197" s="14" t="s">
        <v>21</v>
      </c>
      <c r="G197" s="14" t="s">
        <v>22</v>
      </c>
      <c r="H197" s="14" t="s">
        <v>54</v>
      </c>
      <c r="I197" s="14" t="s">
        <v>24</v>
      </c>
      <c r="J197" s="14" t="s">
        <v>88</v>
      </c>
      <c r="K197" s="16">
        <v>8.2000000000000007E-3</v>
      </c>
      <c r="L197" s="17">
        <v>45895</v>
      </c>
      <c r="M197" s="18">
        <v>1016.7435425899999</v>
      </c>
      <c r="N197" s="18">
        <v>1024.5552653899999</v>
      </c>
      <c r="O197" s="18">
        <v>1026.7312255899999</v>
      </c>
      <c r="P197" s="18">
        <v>1028.03341213</v>
      </c>
      <c r="Q197" s="18">
        <v>1033.75852566</v>
      </c>
      <c r="R197" s="18">
        <v>1039.19769554</v>
      </c>
      <c r="S197" s="18">
        <v>1044.5594558</v>
      </c>
      <c r="T197" s="18">
        <v>1049.5199822100001</v>
      </c>
      <c r="U197" s="19">
        <v>3.2199999999999999E-2</v>
      </c>
      <c r="V197" s="19">
        <v>1.55E-2</v>
      </c>
      <c r="W197" s="19" t="s">
        <v>26</v>
      </c>
      <c r="X197" s="19" t="s">
        <v>26</v>
      </c>
      <c r="Y197" s="19" t="s">
        <v>26</v>
      </c>
      <c r="Z197" s="19" t="s">
        <v>26</v>
      </c>
      <c r="AA197" s="20">
        <v>84739967.200000003</v>
      </c>
      <c r="AB197" s="21">
        <f>IFERROR(AVERAGE($V197:$Z197),"")</f>
        <v>1.55E-2</v>
      </c>
      <c r="AC197" s="21">
        <f>IFERROR(_xlfn.STDEV.P($V197:$Z197),"")</f>
        <v>0</v>
      </c>
    </row>
    <row r="198" spans="1:29" ht="14.25" customHeight="1" x14ac:dyDescent="0.3">
      <c r="A198" s="14" t="s">
        <v>278</v>
      </c>
      <c r="B198" s="15" t="s">
        <v>261</v>
      </c>
      <c r="C198" s="14" t="s">
        <v>28</v>
      </c>
      <c r="D198" s="14" t="s">
        <v>48</v>
      </c>
      <c r="E198" s="14" t="s">
        <v>49</v>
      </c>
      <c r="F198" s="14" t="s">
        <v>21</v>
      </c>
      <c r="G198" s="14" t="s">
        <v>29</v>
      </c>
      <c r="H198" s="14" t="s">
        <v>44</v>
      </c>
      <c r="I198" s="14" t="s">
        <v>24</v>
      </c>
      <c r="J198" s="14" t="s">
        <v>46</v>
      </c>
      <c r="K198" s="16">
        <v>8.9999999999999993E-3</v>
      </c>
      <c r="L198" s="17">
        <v>43224</v>
      </c>
      <c r="M198" s="18">
        <v>11.23546861</v>
      </c>
      <c r="N198" s="18">
        <v>11.2865059</v>
      </c>
      <c r="O198" s="18">
        <v>11.374176629999999</v>
      </c>
      <c r="P198" s="18">
        <v>11.06878665</v>
      </c>
      <c r="Q198" s="18">
        <v>11.180393860000001</v>
      </c>
      <c r="R198" s="18">
        <v>11.24484009</v>
      </c>
      <c r="S198" s="18">
        <v>11.34667264</v>
      </c>
      <c r="T198" s="18">
        <v>11.191946659999999</v>
      </c>
      <c r="U198" s="19">
        <v>-3.8999999999999998E-3</v>
      </c>
      <c r="V198" s="19">
        <v>8.4699999999999998E-2</v>
      </c>
      <c r="W198" s="19">
        <v>3.9600000000000003E-2</v>
      </c>
      <c r="X198" s="19">
        <v>5.7200000000000001E-2</v>
      </c>
      <c r="Y198" s="19">
        <v>-0.1308</v>
      </c>
      <c r="Z198" s="19">
        <v>-3.6999999999999998E-2</v>
      </c>
      <c r="AA198" s="20">
        <v>187651831.88999999</v>
      </c>
      <c r="AB198" s="21">
        <f>IFERROR(AVERAGE($V198:$Z198),"")</f>
        <v>2.7399999999999994E-3</v>
      </c>
      <c r="AC198" s="21">
        <f>IFERROR(_xlfn.STDEV.P($V198:$Z198),"")</f>
        <v>7.8043823586495309E-2</v>
      </c>
    </row>
    <row r="199" spans="1:29" ht="14.25" customHeight="1" x14ac:dyDescent="0.3">
      <c r="A199" s="14" t="s">
        <v>279</v>
      </c>
      <c r="B199" s="15" t="s">
        <v>261</v>
      </c>
      <c r="C199" s="14" t="s">
        <v>28</v>
      </c>
      <c r="D199" s="14" t="s">
        <v>48</v>
      </c>
      <c r="E199" s="14" t="s">
        <v>49</v>
      </c>
      <c r="F199" s="14" t="s">
        <v>21</v>
      </c>
      <c r="G199" s="14" t="s">
        <v>29</v>
      </c>
      <c r="H199" s="14" t="s">
        <v>44</v>
      </c>
      <c r="I199" s="14" t="s">
        <v>45</v>
      </c>
      <c r="J199" s="14" t="s">
        <v>46</v>
      </c>
      <c r="K199" s="16">
        <v>0.01</v>
      </c>
      <c r="L199" s="17">
        <v>43901</v>
      </c>
      <c r="M199" s="18">
        <v>991.08207906999996</v>
      </c>
      <c r="N199" s="18">
        <v>995.76621289000002</v>
      </c>
      <c r="O199" s="18">
        <v>984.44017769000004</v>
      </c>
      <c r="P199" s="18">
        <v>957.70955160999995</v>
      </c>
      <c r="Q199" s="18">
        <v>967.48627443999999</v>
      </c>
      <c r="R199" s="18">
        <v>973.12375294000003</v>
      </c>
      <c r="S199" s="18">
        <v>982.18586860000005</v>
      </c>
      <c r="T199" s="18">
        <v>968.91412141000001</v>
      </c>
      <c r="U199" s="19">
        <v>-2.24E-2</v>
      </c>
      <c r="V199" s="19">
        <v>4.8599999999999997E-2</v>
      </c>
      <c r="W199" s="19">
        <v>3.7000000000000002E-3</v>
      </c>
      <c r="X199" s="19">
        <v>3.15E-2</v>
      </c>
      <c r="Y199" s="19">
        <v>-0.1167</v>
      </c>
      <c r="Z199" s="19">
        <v>-2.3300000000000001E-2</v>
      </c>
      <c r="AA199" s="20">
        <v>96470594.040000007</v>
      </c>
      <c r="AB199" s="21">
        <f>IFERROR(AVERAGE($V199:$Z199),"")</f>
        <v>-1.124E-2</v>
      </c>
      <c r="AC199" s="21">
        <f>IFERROR(_xlfn.STDEV.P($V199:$Z199),"")</f>
        <v>5.8134313447395246E-2</v>
      </c>
    </row>
    <row r="200" spans="1:29" ht="14.25" customHeight="1" x14ac:dyDescent="0.3">
      <c r="A200" s="14" t="s">
        <v>280</v>
      </c>
      <c r="B200" s="15" t="s">
        <v>261</v>
      </c>
      <c r="C200" s="14" t="s">
        <v>28</v>
      </c>
      <c r="D200" s="14" t="s">
        <v>48</v>
      </c>
      <c r="E200" s="14" t="s">
        <v>53</v>
      </c>
      <c r="F200" s="14" t="s">
        <v>65</v>
      </c>
      <c r="G200" s="14" t="s">
        <v>29</v>
      </c>
      <c r="H200" s="14" t="s">
        <v>44</v>
      </c>
      <c r="I200" s="14" t="s">
        <v>45</v>
      </c>
      <c r="J200" s="14" t="s">
        <v>46</v>
      </c>
      <c r="K200" s="16">
        <v>8.0000000000000002E-3</v>
      </c>
      <c r="L200" s="17">
        <v>44174</v>
      </c>
      <c r="M200" s="18">
        <v>806.79269480000005</v>
      </c>
      <c r="N200" s="18">
        <v>811.97179130999996</v>
      </c>
      <c r="O200" s="18">
        <v>814.14236470000003</v>
      </c>
      <c r="P200" s="18">
        <v>801.15516298</v>
      </c>
      <c r="Q200" s="18">
        <v>812.83160385999997</v>
      </c>
      <c r="R200" s="18">
        <v>797.65413752999996</v>
      </c>
      <c r="S200" s="18">
        <v>801.79119445000003</v>
      </c>
      <c r="T200" s="18">
        <v>805.27624448999995</v>
      </c>
      <c r="U200" s="19">
        <v>-1.9E-3</v>
      </c>
      <c r="V200" s="19">
        <v>8.8999999999999999E-3</v>
      </c>
      <c r="W200" s="19">
        <v>-2.0999999999999999E-3</v>
      </c>
      <c r="X200" s="19">
        <v>3.4299999999999997E-2</v>
      </c>
      <c r="Y200" s="19">
        <v>-0.187</v>
      </c>
      <c r="Z200" s="19">
        <v>-5.3800000000000001E-2</v>
      </c>
      <c r="AA200" s="20">
        <v>28032061.670000002</v>
      </c>
      <c r="AB200" s="21">
        <f>IFERROR(AVERAGE($V200:$Z200),"")</f>
        <v>-3.9939999999999996E-2</v>
      </c>
      <c r="AC200" s="21">
        <f>IFERROR(_xlfn.STDEV.P($V200:$Z200),"")</f>
        <v>7.8927222173341444E-2</v>
      </c>
    </row>
    <row r="201" spans="1:29" ht="14.25" customHeight="1" x14ac:dyDescent="0.3">
      <c r="A201" s="14" t="s">
        <v>281</v>
      </c>
      <c r="B201" s="15" t="s">
        <v>261</v>
      </c>
      <c r="C201" s="14" t="s">
        <v>28</v>
      </c>
      <c r="D201" s="14" t="s">
        <v>34</v>
      </c>
      <c r="E201" s="14" t="s">
        <v>20</v>
      </c>
      <c r="F201" s="14" t="s">
        <v>21</v>
      </c>
      <c r="G201" s="14" t="s">
        <v>22</v>
      </c>
      <c r="H201" s="14" t="s">
        <v>23</v>
      </c>
      <c r="I201" s="14" t="s">
        <v>24</v>
      </c>
      <c r="J201" s="14" t="s">
        <v>88</v>
      </c>
      <c r="K201" s="16">
        <v>0.01</v>
      </c>
      <c r="L201" s="17">
        <v>35248</v>
      </c>
      <c r="M201" s="18">
        <v>19.591724060000001</v>
      </c>
      <c r="N201" s="18">
        <v>19.62193388</v>
      </c>
      <c r="O201" s="18">
        <v>19.654670750000001</v>
      </c>
      <c r="P201" s="18">
        <v>19.704426139999999</v>
      </c>
      <c r="Q201" s="18">
        <v>19.733144289999998</v>
      </c>
      <c r="R201" s="18">
        <v>19.70236981</v>
      </c>
      <c r="S201" s="18">
        <v>19.40196787</v>
      </c>
      <c r="T201" s="18">
        <v>19.463283629999999</v>
      </c>
      <c r="U201" s="19">
        <v>-6.6E-3</v>
      </c>
      <c r="V201" s="19">
        <v>-5.4600000000000003E-2</v>
      </c>
      <c r="W201" s="19">
        <v>3.1800000000000002E-2</v>
      </c>
      <c r="X201" s="19">
        <v>3.39E-2</v>
      </c>
      <c r="Y201" s="19">
        <v>-0.2472</v>
      </c>
      <c r="Z201" s="19">
        <v>-4.7999999999999996E-3</v>
      </c>
      <c r="AA201" s="20">
        <v>16344373.98</v>
      </c>
      <c r="AB201" s="21">
        <f>IFERROR(AVERAGE($V201:$Z201),"")</f>
        <v>-4.8180000000000001E-2</v>
      </c>
      <c r="AC201" s="21">
        <f>IFERROR(_xlfn.STDEV.P($V201:$Z201),"")</f>
        <v>0.10456187450500302</v>
      </c>
    </row>
    <row r="202" spans="1:29" ht="14.25" customHeight="1" x14ac:dyDescent="0.3">
      <c r="A202" s="14" t="s">
        <v>282</v>
      </c>
      <c r="B202" s="15" t="s">
        <v>261</v>
      </c>
      <c r="C202" s="14" t="s">
        <v>18</v>
      </c>
      <c r="D202" s="14" t="s">
        <v>34</v>
      </c>
      <c r="E202" s="14" t="s">
        <v>20</v>
      </c>
      <c r="F202" s="14" t="s">
        <v>21</v>
      </c>
      <c r="G202" s="14" t="s">
        <v>22</v>
      </c>
      <c r="H202" s="14" t="s">
        <v>23</v>
      </c>
      <c r="I202" s="14" t="s">
        <v>24</v>
      </c>
      <c r="J202" s="14" t="s">
        <v>88</v>
      </c>
      <c r="K202" s="16">
        <v>1.35E-2</v>
      </c>
      <c r="L202" s="17">
        <v>39189</v>
      </c>
      <c r="M202" s="18">
        <v>11.63240124</v>
      </c>
      <c r="N202" s="18">
        <v>11.64568407</v>
      </c>
      <c r="O202" s="18">
        <v>11.65643172</v>
      </c>
      <c r="P202" s="18">
        <v>11.67879304</v>
      </c>
      <c r="Q202" s="18">
        <v>11.693491420000001</v>
      </c>
      <c r="R202" s="18">
        <v>11.68743604</v>
      </c>
      <c r="S202" s="18">
        <v>11.582175899999999</v>
      </c>
      <c r="T202" s="18">
        <v>11.58829738</v>
      </c>
      <c r="U202" s="19">
        <v>-3.8E-3</v>
      </c>
      <c r="V202" s="19">
        <v>-3.4599999999999999E-2</v>
      </c>
      <c r="W202" s="19">
        <v>1.55E-2</v>
      </c>
      <c r="X202" s="19">
        <v>-2.3E-3</v>
      </c>
      <c r="Y202" s="19">
        <v>-0.30649999999999999</v>
      </c>
      <c r="Z202" s="19">
        <v>-6.1999999999999998E-3</v>
      </c>
      <c r="AA202" s="20">
        <v>6812920.9699999997</v>
      </c>
      <c r="AB202" s="21">
        <f>IFERROR(AVERAGE($V202:$Z202),"")</f>
        <v>-6.6819999999999991E-2</v>
      </c>
      <c r="AC202" s="21">
        <f>IFERROR(_xlfn.STDEV.P($V202:$Z202),"")</f>
        <v>0.12091222270721848</v>
      </c>
    </row>
    <row r="203" spans="1:29" ht="14.25" customHeight="1" x14ac:dyDescent="0.3">
      <c r="A203" s="14" t="s">
        <v>283</v>
      </c>
      <c r="B203" s="15" t="s">
        <v>261</v>
      </c>
      <c r="C203" s="14" t="s">
        <v>18</v>
      </c>
      <c r="D203" s="14" t="s">
        <v>34</v>
      </c>
      <c r="E203" s="14" t="s">
        <v>20</v>
      </c>
      <c r="F203" s="14" t="s">
        <v>21</v>
      </c>
      <c r="G203" s="14" t="s">
        <v>22</v>
      </c>
      <c r="H203" s="14" t="s">
        <v>23</v>
      </c>
      <c r="I203" s="14" t="s">
        <v>24</v>
      </c>
      <c r="J203" s="14" t="s">
        <v>35</v>
      </c>
      <c r="K203" s="16">
        <v>7.4999999999999997E-3</v>
      </c>
      <c r="L203" s="17">
        <v>44956</v>
      </c>
      <c r="M203" s="18">
        <v>11.838826660000001</v>
      </c>
      <c r="N203" s="18">
        <v>11.884595190000001</v>
      </c>
      <c r="O203" s="18">
        <v>11.917306140000001</v>
      </c>
      <c r="P203" s="18">
        <v>11.94849765</v>
      </c>
      <c r="Q203" s="18">
        <v>11.99146614</v>
      </c>
      <c r="R203" s="18">
        <v>12.03353809</v>
      </c>
      <c r="S203" s="18">
        <v>12.079791739999999</v>
      </c>
      <c r="T203" s="18">
        <v>12.122606530000001</v>
      </c>
      <c r="U203" s="19">
        <v>2.4E-2</v>
      </c>
      <c r="V203" s="19">
        <v>4.2599999999999999E-2</v>
      </c>
      <c r="W203" s="19">
        <v>5.0299999999999997E-2</v>
      </c>
      <c r="X203" s="19">
        <v>6.3500000000000001E-2</v>
      </c>
      <c r="Y203" s="19" t="s">
        <v>26</v>
      </c>
      <c r="Z203" s="19" t="s">
        <v>26</v>
      </c>
      <c r="AA203" s="20">
        <v>1234798460.1099999</v>
      </c>
      <c r="AB203" s="21">
        <f>IFERROR(AVERAGE($V203:$Z203),"")</f>
        <v>5.213333333333333E-2</v>
      </c>
      <c r="AC203" s="21">
        <f>IFERROR(_xlfn.STDEV.P($V203:$Z203),"")</f>
        <v>8.6303083503558795E-3</v>
      </c>
    </row>
    <row r="204" spans="1:29" ht="14.25" customHeight="1" x14ac:dyDescent="0.3">
      <c r="A204" s="14" t="s">
        <v>284</v>
      </c>
      <c r="B204" s="15" t="s">
        <v>261</v>
      </c>
      <c r="C204" s="14" t="s">
        <v>28</v>
      </c>
      <c r="D204" s="14" t="s">
        <v>34</v>
      </c>
      <c r="E204" s="14" t="s">
        <v>20</v>
      </c>
      <c r="F204" s="14" t="s">
        <v>21</v>
      </c>
      <c r="G204" s="14" t="s">
        <v>22</v>
      </c>
      <c r="H204" s="14" t="s">
        <v>23</v>
      </c>
      <c r="I204" s="14" t="s">
        <v>24</v>
      </c>
      <c r="J204" s="14" t="s">
        <v>35</v>
      </c>
      <c r="K204" s="16">
        <v>8.0000000000000002E-3</v>
      </c>
      <c r="L204" s="17">
        <v>44957</v>
      </c>
      <c r="M204" s="18">
        <v>11.38390334</v>
      </c>
      <c r="N204" s="18">
        <v>11.417868159999999</v>
      </c>
      <c r="O204" s="18">
        <v>11.44796109</v>
      </c>
      <c r="P204" s="18">
        <v>11.480590490000001</v>
      </c>
      <c r="Q204" s="18">
        <v>11.511342040000001</v>
      </c>
      <c r="R204" s="18">
        <v>11.542737199999999</v>
      </c>
      <c r="S204" s="18">
        <v>11.57550797</v>
      </c>
      <c r="T204" s="18">
        <v>11.608063680000001</v>
      </c>
      <c r="U204" s="19">
        <v>1.9699999999999999E-2</v>
      </c>
      <c r="V204" s="19">
        <v>3.8300000000000001E-2</v>
      </c>
      <c r="W204" s="19">
        <v>4.6100000000000002E-2</v>
      </c>
      <c r="X204" s="19">
        <v>4.2200000000000001E-2</v>
      </c>
      <c r="Y204" s="19" t="s">
        <v>26</v>
      </c>
      <c r="Z204" s="19" t="s">
        <v>26</v>
      </c>
      <c r="AA204" s="20">
        <v>2991331512.3299999</v>
      </c>
      <c r="AB204" s="21">
        <f>IFERROR(AVERAGE($V204:$Z204),"")</f>
        <v>4.2199999999999994E-2</v>
      </c>
      <c r="AC204" s="21">
        <f>IFERROR(_xlfn.STDEV.P($V204:$Z204),"")</f>
        <v>3.1843366656181321E-3</v>
      </c>
    </row>
    <row r="205" spans="1:29" ht="14.25" customHeight="1" x14ac:dyDescent="0.3">
      <c r="A205" s="14" t="s">
        <v>285</v>
      </c>
      <c r="B205" s="15" t="s">
        <v>261</v>
      </c>
      <c r="C205" s="14" t="s">
        <v>28</v>
      </c>
      <c r="D205" s="14" t="s">
        <v>34</v>
      </c>
      <c r="E205" s="14" t="s">
        <v>20</v>
      </c>
      <c r="F205" s="14" t="s">
        <v>21</v>
      </c>
      <c r="G205" s="14" t="s">
        <v>22</v>
      </c>
      <c r="H205" s="14" t="s">
        <v>23</v>
      </c>
      <c r="I205" s="14" t="s">
        <v>24</v>
      </c>
      <c r="J205" s="14" t="s">
        <v>81</v>
      </c>
      <c r="K205" s="16">
        <v>8.0000000000000002E-3</v>
      </c>
      <c r="L205" s="17">
        <v>40772</v>
      </c>
      <c r="M205" s="18">
        <v>11.562565360000001</v>
      </c>
      <c r="N205" s="18">
        <v>11.58577784</v>
      </c>
      <c r="O205" s="18">
        <v>11.60653933</v>
      </c>
      <c r="P205" s="18">
        <v>11.63690982</v>
      </c>
      <c r="Q205" s="18">
        <v>11.661064959999999</v>
      </c>
      <c r="R205" s="18">
        <v>11.668964880000001</v>
      </c>
      <c r="S205" s="18">
        <v>11.60287557</v>
      </c>
      <c r="T205" s="18">
        <v>11.62064371</v>
      </c>
      <c r="U205" s="19">
        <v>5.0000000000000001E-3</v>
      </c>
      <c r="V205" s="19">
        <v>-1.66E-2</v>
      </c>
      <c r="W205" s="19">
        <v>3.9699999999999999E-2</v>
      </c>
      <c r="X205" s="19">
        <v>5.7000000000000002E-3</v>
      </c>
      <c r="Y205" s="19">
        <v>9.1000000000000004E-3</v>
      </c>
      <c r="Z205" s="19">
        <v>5.8999999999999999E-3</v>
      </c>
      <c r="AA205" s="20">
        <v>63411913.619999997</v>
      </c>
      <c r="AB205" s="21">
        <f>IFERROR(AVERAGE($V205:$Z205),"")</f>
        <v>8.7600000000000004E-3</v>
      </c>
      <c r="AC205" s="21">
        <f>IFERROR(_xlfn.STDEV.P($V205:$Z205),"")</f>
        <v>1.798928570010494E-2</v>
      </c>
    </row>
    <row r="206" spans="1:29" ht="14.25" customHeight="1" x14ac:dyDescent="0.3">
      <c r="A206" s="14" t="s">
        <v>286</v>
      </c>
      <c r="B206" s="15" t="s">
        <v>261</v>
      </c>
      <c r="C206" s="14" t="s">
        <v>28</v>
      </c>
      <c r="D206" s="14" t="s">
        <v>34</v>
      </c>
      <c r="E206" s="14" t="s">
        <v>20</v>
      </c>
      <c r="F206" s="14" t="s">
        <v>21</v>
      </c>
      <c r="G206" s="14" t="s">
        <v>22</v>
      </c>
      <c r="H206" s="14" t="s">
        <v>23</v>
      </c>
      <c r="I206" s="14" t="s">
        <v>24</v>
      </c>
      <c r="J206" s="14" t="s">
        <v>88</v>
      </c>
      <c r="K206" s="16">
        <v>0.01</v>
      </c>
      <c r="L206" s="17">
        <v>36957</v>
      </c>
      <c r="M206" s="18">
        <v>16.95596742</v>
      </c>
      <c r="N206" s="18">
        <v>16.99433522</v>
      </c>
      <c r="O206" s="18">
        <v>17.031674580000001</v>
      </c>
      <c r="P206" s="18">
        <v>17.030638440000001</v>
      </c>
      <c r="Q206" s="18">
        <v>17.095292950000001</v>
      </c>
      <c r="R206" s="18">
        <v>17.121986799999998</v>
      </c>
      <c r="S206" s="18">
        <v>17.128468900000001</v>
      </c>
      <c r="T206" s="18">
        <v>17.146396490000001</v>
      </c>
      <c r="U206" s="19">
        <v>1.12E-2</v>
      </c>
      <c r="V206" s="19">
        <v>2.6800000000000001E-2</v>
      </c>
      <c r="W206" s="19">
        <v>4.4999999999999998E-2</v>
      </c>
      <c r="X206" s="19">
        <v>-3.1E-2</v>
      </c>
      <c r="Y206" s="19">
        <v>-1.8599999999999998E-2</v>
      </c>
      <c r="Z206" s="19">
        <v>9.4000000000000004E-3</v>
      </c>
      <c r="AA206" s="20">
        <v>33047151.440000001</v>
      </c>
      <c r="AB206" s="21">
        <f>IFERROR(AVERAGE($V206:$Z206),"")</f>
        <v>6.320000000000001E-3</v>
      </c>
      <c r="AC206" s="21">
        <f>IFERROR(_xlfn.STDEV.P($V206:$Z206),"")</f>
        <v>2.806723356513784E-2</v>
      </c>
    </row>
    <row r="207" spans="1:29" ht="14.25" customHeight="1" x14ac:dyDescent="0.3">
      <c r="A207" s="14" t="s">
        <v>287</v>
      </c>
      <c r="B207" s="15" t="s">
        <v>261</v>
      </c>
      <c r="C207" s="14" t="s">
        <v>18</v>
      </c>
      <c r="D207" s="14" t="s">
        <v>34</v>
      </c>
      <c r="E207" s="14" t="s">
        <v>20</v>
      </c>
      <c r="F207" s="14" t="s">
        <v>21</v>
      </c>
      <c r="G207" s="14" t="s">
        <v>22</v>
      </c>
      <c r="H207" s="14" t="s">
        <v>23</v>
      </c>
      <c r="I207" s="14" t="s">
        <v>24</v>
      </c>
      <c r="J207" s="14" t="s">
        <v>88</v>
      </c>
      <c r="K207" s="16">
        <v>1.0500000000000001E-2</v>
      </c>
      <c r="L207" s="17">
        <v>40771</v>
      </c>
      <c r="M207" s="18">
        <v>12.773019700000001</v>
      </c>
      <c r="N207" s="18">
        <v>12.805281750000001</v>
      </c>
      <c r="O207" s="18">
        <v>12.833318970000001</v>
      </c>
      <c r="P207" s="18">
        <v>12.86654238</v>
      </c>
      <c r="Q207" s="18">
        <v>12.897701059999999</v>
      </c>
      <c r="R207" s="18">
        <v>12.9300581</v>
      </c>
      <c r="S207" s="18">
        <v>12.96541719</v>
      </c>
      <c r="T207" s="18">
        <v>12.998043089999999</v>
      </c>
      <c r="U207" s="19">
        <v>1.7600000000000001E-2</v>
      </c>
      <c r="V207" s="19">
        <v>1.7999999999999999E-2</v>
      </c>
      <c r="W207" s="19">
        <v>5.6899999999999999E-2</v>
      </c>
      <c r="X207" s="19">
        <v>-0.12959999999999999</v>
      </c>
      <c r="Y207" s="19">
        <v>1.09E-2</v>
      </c>
      <c r="Z207" s="19">
        <v>8.8999999999999999E-3</v>
      </c>
      <c r="AA207" s="20">
        <v>31705239.82</v>
      </c>
      <c r="AB207" s="21">
        <f>IFERROR(AVERAGE($V207:$Z207),"")</f>
        <v>-6.9800000000000001E-3</v>
      </c>
      <c r="AC207" s="21">
        <f>IFERROR(_xlfn.STDEV.P($V207:$Z207),"")</f>
        <v>6.3737254412156774E-2</v>
      </c>
    </row>
    <row r="208" spans="1:29" ht="14.25" customHeight="1" x14ac:dyDescent="0.3">
      <c r="A208" s="14" t="s">
        <v>288</v>
      </c>
      <c r="B208" s="15" t="s">
        <v>261</v>
      </c>
      <c r="C208" s="14" t="s">
        <v>18</v>
      </c>
      <c r="D208" s="14" t="s">
        <v>34</v>
      </c>
      <c r="E208" s="14" t="s">
        <v>20</v>
      </c>
      <c r="F208" s="14" t="s">
        <v>21</v>
      </c>
      <c r="G208" s="14" t="s">
        <v>22</v>
      </c>
      <c r="H208" s="14" t="s">
        <v>23</v>
      </c>
      <c r="I208" s="14" t="s">
        <v>24</v>
      </c>
      <c r="J208" s="14" t="s">
        <v>88</v>
      </c>
      <c r="K208" s="16">
        <v>1.0500000000000001E-2</v>
      </c>
      <c r="L208" s="17">
        <v>37063</v>
      </c>
      <c r="M208" s="18">
        <v>20.72883315</v>
      </c>
      <c r="N208" s="18">
        <v>20.797529690000001</v>
      </c>
      <c r="O208" s="18">
        <v>20.835591430000001</v>
      </c>
      <c r="P208" s="18">
        <v>20.86552687</v>
      </c>
      <c r="Q208" s="18">
        <v>20.903801229999999</v>
      </c>
      <c r="R208" s="18">
        <v>20.956740700000001</v>
      </c>
      <c r="S208" s="18">
        <v>20.757829269999998</v>
      </c>
      <c r="T208" s="18">
        <v>20.826045669999999</v>
      </c>
      <c r="U208" s="19">
        <v>4.7000000000000002E-3</v>
      </c>
      <c r="V208" s="19">
        <v>-1.32E-2</v>
      </c>
      <c r="W208" s="19">
        <v>4.2599999999999999E-2</v>
      </c>
      <c r="X208" s="19">
        <v>-6.1899999999999997E-2</v>
      </c>
      <c r="Y208" s="19">
        <v>-1.77E-2</v>
      </c>
      <c r="Z208" s="19">
        <v>-5.4000000000000003E-3</v>
      </c>
      <c r="AA208" s="20">
        <v>25835967.050000001</v>
      </c>
      <c r="AB208" s="21">
        <f>IFERROR(AVERAGE($V208:$Z208),"")</f>
        <v>-1.1120000000000001E-2</v>
      </c>
      <c r="AC208" s="21">
        <f>IFERROR(_xlfn.STDEV.P($V208:$Z208),"")</f>
        <v>3.3301014999546179E-2</v>
      </c>
    </row>
    <row r="209" spans="4:27" ht="14.25" customHeight="1" x14ac:dyDescent="0.3">
      <c r="H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 spans="4:27" ht="14.25" customHeight="1" x14ac:dyDescent="0.3">
      <c r="D210" s="24"/>
      <c r="E210" s="24"/>
      <c r="F210" s="24"/>
      <c r="G210" s="24"/>
      <c r="H210" s="24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 spans="4:27" ht="14.25" customHeight="1" x14ac:dyDescent="0.3">
      <c r="D211" s="24"/>
      <c r="E211" s="24"/>
      <c r="F211" s="24"/>
      <c r="G211" s="24"/>
      <c r="H211" s="24"/>
      <c r="I211" s="24"/>
      <c r="U211" s="23"/>
      <c r="V211" s="23"/>
      <c r="W211" s="23"/>
      <c r="X211" s="23"/>
      <c r="Y211" s="23"/>
      <c r="Z211" s="23"/>
      <c r="AA211" s="23"/>
    </row>
    <row r="212" spans="4:27" ht="14.25" customHeight="1" x14ac:dyDescent="0.3">
      <c r="D212" s="24"/>
      <c r="E212" s="24"/>
      <c r="F212" s="24"/>
      <c r="G212" s="24"/>
      <c r="H212" s="24"/>
      <c r="I212" s="24"/>
      <c r="U212" s="23"/>
      <c r="V212" s="23"/>
      <c r="W212" s="23"/>
      <c r="X212" s="23"/>
      <c r="Y212" s="23"/>
      <c r="Z212" s="23"/>
      <c r="AA212" s="23"/>
    </row>
    <row r="213" spans="4:27" ht="14.25" customHeight="1" x14ac:dyDescent="0.3">
      <c r="D213" s="24"/>
      <c r="E213" s="24"/>
      <c r="F213" s="24"/>
      <c r="G213" s="24"/>
      <c r="H213" s="24"/>
      <c r="I213" s="24"/>
      <c r="U213" s="23"/>
      <c r="V213" s="23"/>
      <c r="W213" s="23"/>
      <c r="X213" s="23"/>
      <c r="Y213" s="23"/>
      <c r="Z213" s="23"/>
      <c r="AA213" s="23"/>
    </row>
    <row r="214" spans="4:27" ht="14.25" customHeight="1" x14ac:dyDescent="0.3">
      <c r="D214" s="24"/>
      <c r="E214" s="24"/>
      <c r="F214" s="24"/>
      <c r="G214" s="24"/>
      <c r="H214" s="24"/>
      <c r="I214" s="24"/>
      <c r="U214" s="23"/>
      <c r="V214" s="23"/>
      <c r="W214" s="23"/>
      <c r="X214" s="23"/>
      <c r="Y214" s="23"/>
      <c r="Z214" s="23"/>
      <c r="AA214" s="23"/>
    </row>
    <row r="215" spans="4:27" ht="14.25" customHeight="1" x14ac:dyDescent="0.3">
      <c r="D215" s="1"/>
      <c r="E215" s="24"/>
      <c r="F215" s="2"/>
      <c r="I215" s="23"/>
      <c r="U215" s="23"/>
      <c r="V215" s="23"/>
      <c r="W215" s="23"/>
      <c r="X215" s="23"/>
      <c r="Y215" s="23"/>
      <c r="Z215" s="23"/>
      <c r="AA215" s="23"/>
    </row>
    <row r="216" spans="4:27" ht="14.25" customHeight="1" x14ac:dyDescent="0.3">
      <c r="D216" s="1"/>
      <c r="E216" s="24"/>
      <c r="F216" s="2"/>
      <c r="I216" s="23"/>
      <c r="U216" s="23"/>
      <c r="V216" s="23"/>
      <c r="W216" s="23"/>
      <c r="X216" s="23"/>
      <c r="Y216" s="23"/>
      <c r="Z216" s="23"/>
      <c r="AA216" s="23"/>
    </row>
    <row r="217" spans="4:27" ht="14.25" customHeight="1" x14ac:dyDescent="0.3">
      <c r="D217" s="1"/>
      <c r="E217" s="24"/>
      <c r="F217" s="2"/>
      <c r="I217" s="23"/>
      <c r="U217" s="23"/>
      <c r="V217" s="23"/>
      <c r="W217" s="23"/>
      <c r="X217" s="23"/>
      <c r="Y217" s="23"/>
      <c r="Z217" s="23"/>
      <c r="AA217" s="23"/>
    </row>
    <row r="218" spans="4:27" ht="14.25" customHeight="1" x14ac:dyDescent="0.3">
      <c r="D218" s="1"/>
      <c r="E218" s="24"/>
      <c r="F218" s="2"/>
      <c r="I218" s="23"/>
      <c r="U218" s="23"/>
      <c r="V218" s="23"/>
      <c r="W218" s="23"/>
      <c r="X218" s="23"/>
      <c r="Y218" s="23"/>
      <c r="Z218" s="23"/>
      <c r="AA218" s="23"/>
    </row>
    <row r="219" spans="4:27" ht="14.25" customHeight="1" x14ac:dyDescent="0.3">
      <c r="D219" s="1"/>
      <c r="E219" s="24"/>
      <c r="F219" s="2"/>
      <c r="I219" s="23"/>
      <c r="U219" s="23"/>
      <c r="V219" s="23"/>
      <c r="W219" s="23"/>
      <c r="X219" s="23"/>
      <c r="Y219" s="23"/>
      <c r="Z219" s="23"/>
      <c r="AA219" s="23"/>
    </row>
    <row r="220" spans="4:27" ht="14.25" customHeight="1" x14ac:dyDescent="0.3">
      <c r="D220" s="1"/>
      <c r="E220" s="24"/>
      <c r="F220" s="2"/>
      <c r="I220" s="23"/>
      <c r="U220" s="23"/>
      <c r="V220" s="23"/>
      <c r="W220" s="23"/>
      <c r="X220" s="23"/>
      <c r="Y220" s="23"/>
      <c r="Z220" s="23"/>
      <c r="AA220" s="23"/>
    </row>
    <row r="221" spans="4:27" ht="14.25" customHeight="1" x14ac:dyDescent="0.3">
      <c r="E221" s="24"/>
      <c r="I221" s="23"/>
      <c r="U221" s="23"/>
      <c r="V221" s="23"/>
      <c r="W221" s="23"/>
      <c r="X221" s="23"/>
      <c r="Y221" s="23"/>
      <c r="Z221" s="23"/>
      <c r="AA221" s="23"/>
    </row>
    <row r="222" spans="4:27" ht="14.25" customHeight="1" x14ac:dyDescent="0.3">
      <c r="E222" s="24"/>
      <c r="I222" s="23"/>
      <c r="U222" s="23"/>
      <c r="V222" s="23"/>
      <c r="W222" s="23"/>
      <c r="X222" s="23"/>
      <c r="Y222" s="23"/>
      <c r="Z222" s="23"/>
      <c r="AA222" s="23"/>
    </row>
    <row r="223" spans="4:27" ht="14.25" customHeight="1" x14ac:dyDescent="0.3">
      <c r="E223" s="24"/>
      <c r="I223" s="23"/>
      <c r="U223" s="23"/>
      <c r="V223" s="23"/>
      <c r="W223" s="23"/>
      <c r="X223" s="23"/>
      <c r="Y223" s="23"/>
      <c r="Z223" s="23"/>
      <c r="AA223" s="23"/>
    </row>
    <row r="224" spans="4:27" ht="14.25" customHeight="1" x14ac:dyDescent="0.3">
      <c r="E224" s="24"/>
      <c r="I224" s="23"/>
      <c r="U224" s="23"/>
      <c r="V224" s="23"/>
      <c r="W224" s="23"/>
      <c r="X224" s="23"/>
      <c r="Y224" s="23"/>
      <c r="Z224" s="23"/>
      <c r="AA224" s="23"/>
    </row>
    <row r="225" spans="5:27" ht="14.25" customHeight="1" x14ac:dyDescent="0.3">
      <c r="E225" s="24"/>
      <c r="I225" s="23"/>
      <c r="U225" s="23"/>
      <c r="V225" s="23"/>
      <c r="W225" s="23"/>
      <c r="X225" s="23"/>
      <c r="Y225" s="23"/>
      <c r="Z225" s="23"/>
      <c r="AA225" s="23"/>
    </row>
    <row r="226" spans="5:27" ht="14.25" customHeight="1" x14ac:dyDescent="0.3">
      <c r="E226" s="24"/>
      <c r="I226" s="23"/>
      <c r="U226" s="23"/>
      <c r="V226" s="23"/>
      <c r="W226" s="23"/>
      <c r="X226" s="23"/>
      <c r="Y226" s="23"/>
      <c r="Z226" s="23"/>
      <c r="AA226" s="23"/>
    </row>
    <row r="227" spans="5:27" ht="14.25" customHeight="1" x14ac:dyDescent="0.3">
      <c r="E227" s="24"/>
      <c r="I227" s="23"/>
      <c r="U227" s="23"/>
      <c r="V227" s="23"/>
      <c r="W227" s="23"/>
      <c r="X227" s="23"/>
      <c r="Y227" s="23"/>
      <c r="Z227" s="23"/>
      <c r="AA227" s="23"/>
    </row>
    <row r="228" spans="5:27" ht="14.25" customHeight="1" x14ac:dyDescent="0.3">
      <c r="E228" s="24"/>
      <c r="I228" s="23"/>
      <c r="U228" s="23"/>
      <c r="V228" s="23"/>
      <c r="W228" s="23"/>
      <c r="X228" s="23"/>
      <c r="Y228" s="23"/>
      <c r="Z228" s="23"/>
      <c r="AA228" s="23"/>
    </row>
    <row r="229" spans="5:27" ht="14.25" customHeight="1" x14ac:dyDescent="0.3">
      <c r="E229" s="24"/>
      <c r="I229" s="23"/>
      <c r="U229" s="23"/>
      <c r="V229" s="23"/>
      <c r="W229" s="23"/>
      <c r="X229" s="23"/>
      <c r="Y229" s="23"/>
      <c r="Z229" s="23"/>
      <c r="AA229" s="23"/>
    </row>
    <row r="230" spans="5:27" ht="14.25" customHeight="1" x14ac:dyDescent="0.3">
      <c r="E230" s="24"/>
      <c r="I230" s="23"/>
      <c r="U230" s="23"/>
      <c r="V230" s="23"/>
      <c r="W230" s="23"/>
      <c r="X230" s="23"/>
      <c r="Y230" s="23"/>
      <c r="Z230" s="23"/>
      <c r="AA230" s="23"/>
    </row>
    <row r="231" spans="5:27" ht="14.25" customHeight="1" x14ac:dyDescent="0.3">
      <c r="E231" s="24"/>
      <c r="I231" s="23"/>
      <c r="U231" s="23"/>
      <c r="V231" s="23"/>
      <c r="W231" s="23"/>
      <c r="X231" s="23"/>
      <c r="Y231" s="23"/>
      <c r="Z231" s="23"/>
      <c r="AA231" s="23"/>
    </row>
    <row r="232" spans="5:27" ht="14.25" customHeight="1" x14ac:dyDescent="0.3">
      <c r="E232" s="24"/>
      <c r="I232" s="23"/>
      <c r="U232" s="23"/>
      <c r="V232" s="23"/>
      <c r="W232" s="23"/>
      <c r="X232" s="23"/>
      <c r="Y232" s="23"/>
      <c r="Z232" s="23"/>
      <c r="AA232" s="23"/>
    </row>
    <row r="233" spans="5:27" ht="14.25" customHeight="1" x14ac:dyDescent="0.3">
      <c r="E233" s="24"/>
      <c r="I233" s="23"/>
      <c r="U233" s="23"/>
      <c r="V233" s="23"/>
      <c r="W233" s="23"/>
      <c r="X233" s="23"/>
      <c r="Y233" s="23"/>
      <c r="Z233" s="23"/>
      <c r="AA233" s="23"/>
    </row>
    <row r="234" spans="5:27" ht="14.25" customHeight="1" x14ac:dyDescent="0.3">
      <c r="E234" s="24"/>
      <c r="I234" s="23"/>
      <c r="U234" s="23"/>
      <c r="V234" s="23"/>
      <c r="W234" s="23"/>
      <c r="X234" s="23"/>
      <c r="Y234" s="23"/>
      <c r="Z234" s="23"/>
      <c r="AA234" s="23"/>
    </row>
    <row r="235" spans="5:27" ht="14.25" customHeight="1" x14ac:dyDescent="0.3">
      <c r="H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spans="5:27" ht="14.25" customHeight="1" x14ac:dyDescent="0.3">
      <c r="H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spans="5:27" ht="14.25" customHeight="1" x14ac:dyDescent="0.3">
      <c r="H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spans="5:27" ht="14.25" customHeight="1" x14ac:dyDescent="0.3">
      <c r="H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spans="5:27" ht="14.25" customHeight="1" x14ac:dyDescent="0.3">
      <c r="H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spans="5:27" ht="14.25" customHeight="1" x14ac:dyDescent="0.3">
      <c r="H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spans="8:26" ht="14.25" customHeight="1" x14ac:dyDescent="0.3">
      <c r="H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spans="8:26" ht="14.25" customHeight="1" x14ac:dyDescent="0.3">
      <c r="H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spans="8:26" ht="14.25" customHeight="1" x14ac:dyDescent="0.3">
      <c r="H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spans="8:26" ht="14.25" customHeight="1" x14ac:dyDescent="0.3">
      <c r="H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spans="8:26" ht="14.25" customHeight="1" x14ac:dyDescent="0.3">
      <c r="H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spans="8:26" ht="14.25" customHeight="1" x14ac:dyDescent="0.3">
      <c r="H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spans="8:26" ht="14.25" customHeight="1" x14ac:dyDescent="0.3">
      <c r="H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spans="8:26" ht="14.25" customHeight="1" x14ac:dyDescent="0.3">
      <c r="H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spans="8:26" ht="14.25" customHeight="1" x14ac:dyDescent="0.3">
      <c r="H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spans="8:26" ht="14.25" customHeight="1" x14ac:dyDescent="0.3">
      <c r="H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spans="8:26" ht="14.25" customHeight="1" x14ac:dyDescent="0.3">
      <c r="H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spans="8:26" ht="14.25" customHeight="1" x14ac:dyDescent="0.3">
      <c r="H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spans="8:26" ht="14.25" customHeight="1" x14ac:dyDescent="0.3">
      <c r="H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spans="8:26" ht="14.25" customHeight="1" x14ac:dyDescent="0.3">
      <c r="H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spans="8:26" ht="14.25" customHeight="1" x14ac:dyDescent="0.3">
      <c r="H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spans="8:26" ht="14.25" customHeight="1" x14ac:dyDescent="0.3">
      <c r="H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spans="8:26" ht="14.25" customHeight="1" x14ac:dyDescent="0.3">
      <c r="H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spans="8:26" ht="14.25" customHeight="1" x14ac:dyDescent="0.3">
      <c r="H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spans="8:26" ht="14.25" customHeight="1" x14ac:dyDescent="0.3">
      <c r="H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spans="8:26" ht="14.25" customHeight="1" x14ac:dyDescent="0.3">
      <c r="H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spans="8:26" ht="14.25" customHeight="1" x14ac:dyDescent="0.3">
      <c r="H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spans="8:26" ht="14.25" customHeight="1" x14ac:dyDescent="0.3">
      <c r="H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spans="8:26" ht="14.25" customHeight="1" x14ac:dyDescent="0.3">
      <c r="H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spans="8:26" ht="14.25" customHeight="1" x14ac:dyDescent="0.3">
      <c r="H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spans="8:26" ht="14.25" customHeight="1" x14ac:dyDescent="0.3">
      <c r="H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spans="8:26" ht="14.25" customHeight="1" x14ac:dyDescent="0.3">
      <c r="H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spans="8:26" ht="14.25" customHeight="1" x14ac:dyDescent="0.3">
      <c r="H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spans="8:26" ht="14.25" customHeight="1" x14ac:dyDescent="0.3">
      <c r="H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spans="8:26" ht="14.25" customHeight="1" x14ac:dyDescent="0.3">
      <c r="H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spans="8:26" ht="14.25" customHeight="1" x14ac:dyDescent="0.3">
      <c r="H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spans="8:26" ht="14.25" customHeight="1" x14ac:dyDescent="0.3">
      <c r="H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spans="8:26" ht="14.25" customHeight="1" x14ac:dyDescent="0.3">
      <c r="H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spans="8:26" ht="14.25" customHeight="1" x14ac:dyDescent="0.3">
      <c r="H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spans="8:26" ht="14.25" customHeight="1" x14ac:dyDescent="0.3">
      <c r="H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spans="8:26" ht="14.25" customHeight="1" x14ac:dyDescent="0.3">
      <c r="H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spans="8:26" ht="14.25" customHeight="1" x14ac:dyDescent="0.3">
      <c r="H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spans="8:26" ht="14.25" customHeight="1" x14ac:dyDescent="0.3">
      <c r="H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spans="8:26" ht="14.25" customHeight="1" x14ac:dyDescent="0.3">
      <c r="H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spans="8:26" ht="14.25" customHeight="1" x14ac:dyDescent="0.3">
      <c r="H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spans="8:26" ht="14.25" customHeight="1" x14ac:dyDescent="0.3">
      <c r="H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 spans="8:26" ht="14.25" customHeight="1" x14ac:dyDescent="0.3">
      <c r="H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 spans="8:26" ht="14.25" customHeight="1" x14ac:dyDescent="0.3">
      <c r="H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 spans="8:26" ht="14.25" customHeight="1" x14ac:dyDescent="0.3">
      <c r="H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 spans="8:26" ht="14.25" customHeight="1" x14ac:dyDescent="0.3">
      <c r="H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 spans="8:26" ht="14.25" customHeight="1" x14ac:dyDescent="0.3">
      <c r="H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 spans="8:26" ht="14.25" customHeight="1" x14ac:dyDescent="0.3">
      <c r="H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 spans="8:26" ht="14.25" customHeight="1" x14ac:dyDescent="0.3">
      <c r="H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 spans="8:26" ht="14.25" customHeight="1" x14ac:dyDescent="0.3">
      <c r="H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 spans="8:26" ht="14.25" customHeight="1" x14ac:dyDescent="0.3">
      <c r="H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 spans="8:26" ht="14.25" customHeight="1" x14ac:dyDescent="0.3">
      <c r="H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 spans="8:26" ht="14.25" customHeight="1" x14ac:dyDescent="0.3">
      <c r="H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 spans="8:26" ht="14.25" customHeight="1" x14ac:dyDescent="0.3">
      <c r="H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 spans="8:26" ht="14.25" customHeight="1" x14ac:dyDescent="0.3">
      <c r="H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 spans="8:26" ht="14.25" customHeight="1" x14ac:dyDescent="0.3">
      <c r="H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 spans="8:26" ht="14.25" customHeight="1" x14ac:dyDescent="0.3">
      <c r="H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 spans="8:26" ht="14.25" customHeight="1" x14ac:dyDescent="0.3">
      <c r="H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 spans="8:26" ht="14.25" customHeight="1" x14ac:dyDescent="0.3">
      <c r="H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 spans="8:26" ht="14.25" customHeight="1" x14ac:dyDescent="0.3">
      <c r="H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 spans="8:26" ht="14.25" customHeight="1" x14ac:dyDescent="0.3">
      <c r="H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 spans="8:26" ht="14.25" customHeight="1" x14ac:dyDescent="0.3">
      <c r="H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 spans="8:26" ht="14.25" customHeight="1" x14ac:dyDescent="0.3">
      <c r="H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 spans="8:26" ht="14.25" customHeight="1" x14ac:dyDescent="0.3">
      <c r="H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 spans="8:26" ht="14.25" customHeight="1" x14ac:dyDescent="0.3">
      <c r="H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 spans="8:26" ht="14.25" customHeight="1" x14ac:dyDescent="0.3">
      <c r="H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 spans="8:26" ht="14.25" customHeight="1" x14ac:dyDescent="0.3">
      <c r="H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 spans="8:26" ht="14.25" customHeight="1" x14ac:dyDescent="0.3">
      <c r="H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 spans="8:26" ht="14.25" customHeight="1" x14ac:dyDescent="0.3">
      <c r="H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 spans="8:26" ht="14.25" customHeight="1" x14ac:dyDescent="0.3">
      <c r="H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 spans="8:26" ht="14.25" customHeight="1" x14ac:dyDescent="0.3">
      <c r="H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 spans="8:26" ht="14.25" customHeight="1" x14ac:dyDescent="0.3">
      <c r="H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 spans="8:26" ht="14.25" customHeight="1" x14ac:dyDescent="0.3">
      <c r="H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 spans="8:26" ht="14.25" customHeight="1" x14ac:dyDescent="0.3">
      <c r="H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 spans="8:26" ht="14.25" customHeight="1" x14ac:dyDescent="0.3">
      <c r="H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 spans="8:26" ht="14.25" customHeight="1" x14ac:dyDescent="0.3">
      <c r="H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 spans="8:26" ht="14.25" customHeight="1" x14ac:dyDescent="0.3">
      <c r="H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 spans="8:26" ht="14.25" customHeight="1" x14ac:dyDescent="0.3">
      <c r="H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 spans="8:26" ht="14.25" customHeight="1" x14ac:dyDescent="0.3">
      <c r="H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 spans="8:26" ht="14.25" customHeight="1" x14ac:dyDescent="0.3">
      <c r="H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 spans="8:26" ht="14.25" customHeight="1" x14ac:dyDescent="0.3">
      <c r="H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 spans="8:26" ht="14.25" customHeight="1" x14ac:dyDescent="0.3">
      <c r="H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 spans="8:26" ht="14.25" customHeight="1" x14ac:dyDescent="0.3">
      <c r="H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 spans="8:26" ht="14.25" customHeight="1" x14ac:dyDescent="0.3">
      <c r="H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 spans="8:26" ht="14.25" customHeight="1" x14ac:dyDescent="0.3">
      <c r="H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 spans="8:26" ht="14.25" customHeight="1" x14ac:dyDescent="0.3">
      <c r="H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 spans="8:26" ht="14.25" customHeight="1" x14ac:dyDescent="0.3">
      <c r="H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 spans="8:26" ht="14.25" customHeight="1" x14ac:dyDescent="0.3">
      <c r="H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 spans="8:26" ht="14.25" customHeight="1" x14ac:dyDescent="0.3">
      <c r="H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 spans="8:26" ht="14.25" customHeight="1" x14ac:dyDescent="0.3">
      <c r="H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 spans="8:26" ht="14.25" customHeight="1" x14ac:dyDescent="0.3">
      <c r="H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 spans="8:26" ht="14.25" customHeight="1" x14ac:dyDescent="0.3">
      <c r="H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 spans="8:26" ht="14.25" customHeight="1" x14ac:dyDescent="0.3">
      <c r="H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 spans="8:26" ht="14.25" customHeight="1" x14ac:dyDescent="0.3">
      <c r="H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 spans="8:26" ht="14.25" customHeight="1" x14ac:dyDescent="0.3">
      <c r="H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 spans="8:26" ht="14.25" customHeight="1" x14ac:dyDescent="0.3">
      <c r="H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 spans="8:26" ht="14.25" customHeight="1" x14ac:dyDescent="0.3">
      <c r="H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 spans="8:26" ht="14.25" customHeight="1" x14ac:dyDescent="0.3">
      <c r="H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 spans="8:26" ht="14.25" customHeight="1" x14ac:dyDescent="0.3">
      <c r="H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 spans="8:26" ht="14.25" customHeight="1" x14ac:dyDescent="0.3">
      <c r="H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 spans="8:26" ht="14.25" customHeight="1" x14ac:dyDescent="0.3">
      <c r="H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 spans="8:26" ht="14.25" customHeight="1" x14ac:dyDescent="0.3">
      <c r="H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 spans="8:26" ht="14.25" customHeight="1" x14ac:dyDescent="0.3">
      <c r="H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 spans="8:26" ht="14.25" customHeight="1" x14ac:dyDescent="0.3">
      <c r="H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 spans="8:26" ht="14.25" customHeight="1" x14ac:dyDescent="0.3">
      <c r="H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 spans="8:26" ht="14.25" customHeight="1" x14ac:dyDescent="0.3">
      <c r="H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 spans="8:26" ht="14.25" customHeight="1" x14ac:dyDescent="0.3">
      <c r="H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 spans="8:26" ht="14.25" customHeight="1" x14ac:dyDescent="0.3">
      <c r="H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 spans="8:26" ht="14.25" customHeight="1" x14ac:dyDescent="0.3">
      <c r="H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 spans="8:26" ht="14.25" customHeight="1" x14ac:dyDescent="0.3">
      <c r="H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 spans="8:26" ht="14.25" customHeight="1" x14ac:dyDescent="0.3">
      <c r="H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 spans="8:26" ht="14.25" customHeight="1" x14ac:dyDescent="0.3">
      <c r="H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 spans="8:26" ht="14.25" customHeight="1" x14ac:dyDescent="0.3">
      <c r="H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 spans="8:26" ht="14.25" customHeight="1" x14ac:dyDescent="0.3">
      <c r="H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 spans="8:26" ht="14.25" customHeight="1" x14ac:dyDescent="0.3">
      <c r="H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 spans="8:26" ht="14.25" customHeight="1" x14ac:dyDescent="0.3">
      <c r="H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 spans="8:26" ht="14.25" customHeight="1" x14ac:dyDescent="0.3">
      <c r="H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 spans="8:26" ht="14.25" customHeight="1" x14ac:dyDescent="0.3">
      <c r="H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 spans="8:26" ht="14.25" customHeight="1" x14ac:dyDescent="0.3">
      <c r="H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 spans="8:26" ht="14.25" customHeight="1" x14ac:dyDescent="0.3">
      <c r="H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 spans="8:26" ht="14.25" customHeight="1" x14ac:dyDescent="0.3">
      <c r="H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 spans="8:26" ht="14.25" customHeight="1" x14ac:dyDescent="0.3">
      <c r="H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 spans="8:26" ht="14.25" customHeight="1" x14ac:dyDescent="0.3">
      <c r="H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 spans="8:26" ht="14.25" customHeight="1" x14ac:dyDescent="0.3">
      <c r="H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 spans="8:26" ht="14.25" customHeight="1" x14ac:dyDescent="0.3">
      <c r="H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 spans="8:26" ht="14.25" customHeight="1" x14ac:dyDescent="0.3">
      <c r="H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 spans="8:26" ht="14.25" customHeight="1" x14ac:dyDescent="0.3">
      <c r="H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 spans="8:26" ht="14.25" customHeight="1" x14ac:dyDescent="0.3">
      <c r="H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 spans="8:26" ht="14.25" customHeight="1" x14ac:dyDescent="0.3">
      <c r="H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 spans="8:26" ht="14.25" customHeight="1" x14ac:dyDescent="0.3">
      <c r="H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 spans="8:26" ht="14.25" customHeight="1" x14ac:dyDescent="0.3">
      <c r="H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 spans="8:26" ht="14.25" customHeight="1" x14ac:dyDescent="0.3">
      <c r="H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 spans="8:26" ht="14.25" customHeight="1" x14ac:dyDescent="0.3">
      <c r="H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 spans="8:26" ht="14.25" customHeight="1" x14ac:dyDescent="0.3">
      <c r="H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 spans="8:26" ht="14.25" customHeight="1" x14ac:dyDescent="0.3">
      <c r="H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 spans="8:26" ht="14.25" customHeight="1" x14ac:dyDescent="0.3">
      <c r="H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 spans="8:26" ht="14.25" customHeight="1" x14ac:dyDescent="0.3">
      <c r="H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 spans="8:26" ht="14.25" customHeight="1" x14ac:dyDescent="0.3">
      <c r="H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 spans="8:26" ht="14.25" customHeight="1" x14ac:dyDescent="0.3">
      <c r="H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 spans="8:26" ht="14.25" customHeight="1" x14ac:dyDescent="0.3">
      <c r="H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 spans="8:26" ht="14.25" customHeight="1" x14ac:dyDescent="0.3">
      <c r="H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 spans="8:26" ht="14.25" customHeight="1" x14ac:dyDescent="0.3">
      <c r="H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 spans="8:26" ht="14.25" customHeight="1" x14ac:dyDescent="0.3">
      <c r="H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 spans="8:26" ht="14.25" customHeight="1" x14ac:dyDescent="0.3">
      <c r="H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 spans="8:26" ht="14.25" customHeight="1" x14ac:dyDescent="0.3">
      <c r="H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 spans="8:26" ht="14.25" customHeight="1" x14ac:dyDescent="0.3">
      <c r="H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 spans="8:26" ht="14.25" customHeight="1" x14ac:dyDescent="0.3">
      <c r="H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 spans="8:26" ht="14.25" customHeight="1" x14ac:dyDescent="0.3">
      <c r="H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 spans="8:26" ht="14.25" customHeight="1" x14ac:dyDescent="0.3">
      <c r="H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 spans="8:26" ht="14.25" customHeight="1" x14ac:dyDescent="0.3">
      <c r="H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 spans="8:26" ht="14.25" customHeight="1" x14ac:dyDescent="0.3">
      <c r="H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 spans="8:26" ht="14.25" customHeight="1" x14ac:dyDescent="0.3">
      <c r="H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 spans="8:26" ht="14.25" customHeight="1" x14ac:dyDescent="0.3">
      <c r="H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 spans="8:26" ht="14.25" customHeight="1" x14ac:dyDescent="0.3">
      <c r="H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 spans="8:26" ht="14.25" customHeight="1" x14ac:dyDescent="0.3">
      <c r="H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 spans="8:26" ht="14.25" customHeight="1" x14ac:dyDescent="0.3">
      <c r="H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 spans="8:26" ht="14.25" customHeight="1" x14ac:dyDescent="0.3">
      <c r="H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 spans="8:26" ht="14.25" customHeight="1" x14ac:dyDescent="0.3">
      <c r="H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 spans="8:26" ht="14.25" customHeight="1" x14ac:dyDescent="0.3">
      <c r="H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 spans="8:26" ht="14.25" customHeight="1" x14ac:dyDescent="0.3">
      <c r="H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 spans="8:26" ht="14.25" customHeight="1" x14ac:dyDescent="0.3">
      <c r="H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 spans="8:26" ht="14.25" customHeight="1" x14ac:dyDescent="0.3">
      <c r="H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 spans="8:26" ht="14.25" customHeight="1" x14ac:dyDescent="0.3">
      <c r="H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 spans="8:26" ht="14.25" customHeight="1" x14ac:dyDescent="0.3">
      <c r="H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 spans="8:26" ht="14.25" customHeight="1" x14ac:dyDescent="0.3">
      <c r="H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 spans="8:26" ht="14.25" customHeight="1" x14ac:dyDescent="0.3">
      <c r="H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 spans="8:26" ht="14.25" customHeight="1" x14ac:dyDescent="0.3">
      <c r="H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 spans="8:26" ht="14.25" customHeight="1" x14ac:dyDescent="0.3">
      <c r="H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 spans="8:26" ht="14.25" customHeight="1" x14ac:dyDescent="0.3">
      <c r="H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 spans="8:26" ht="14.25" customHeight="1" x14ac:dyDescent="0.3">
      <c r="H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 spans="8:26" ht="14.25" customHeight="1" x14ac:dyDescent="0.3">
      <c r="H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 spans="8:26" ht="14.25" customHeight="1" x14ac:dyDescent="0.3">
      <c r="H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 spans="8:26" ht="14.25" customHeight="1" x14ac:dyDescent="0.3">
      <c r="H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 spans="8:26" ht="14.25" customHeight="1" x14ac:dyDescent="0.3">
      <c r="H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 spans="8:26" ht="14.25" customHeight="1" x14ac:dyDescent="0.3">
      <c r="H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 spans="8:26" ht="14.25" customHeight="1" x14ac:dyDescent="0.3">
      <c r="H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 spans="8:26" ht="14.25" customHeight="1" x14ac:dyDescent="0.3">
      <c r="H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 spans="8:26" ht="14.25" customHeight="1" x14ac:dyDescent="0.3">
      <c r="H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 spans="8:26" ht="14.25" customHeight="1" x14ac:dyDescent="0.3">
      <c r="H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 spans="8:26" ht="14.25" customHeight="1" x14ac:dyDescent="0.3">
      <c r="H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 spans="8:26" ht="14.25" customHeight="1" x14ac:dyDescent="0.3">
      <c r="H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 spans="8:26" ht="14.25" customHeight="1" x14ac:dyDescent="0.3">
      <c r="H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 spans="8:26" ht="14.25" customHeight="1" x14ac:dyDescent="0.3">
      <c r="H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 spans="8:26" ht="14.25" customHeight="1" x14ac:dyDescent="0.3">
      <c r="H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 spans="8:26" ht="14.25" customHeight="1" x14ac:dyDescent="0.3">
      <c r="H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 spans="8:26" ht="14.25" customHeight="1" x14ac:dyDescent="0.3">
      <c r="H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 spans="8:26" ht="14.25" customHeight="1" x14ac:dyDescent="0.3">
      <c r="H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 spans="8:26" ht="14.25" customHeight="1" x14ac:dyDescent="0.3">
      <c r="H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 spans="8:26" ht="14.25" customHeight="1" x14ac:dyDescent="0.3">
      <c r="H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 spans="8:26" ht="14.25" customHeight="1" x14ac:dyDescent="0.3">
      <c r="H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 spans="8:26" ht="14.25" customHeight="1" x14ac:dyDescent="0.3">
      <c r="H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 spans="8:26" ht="14.25" customHeight="1" x14ac:dyDescent="0.3">
      <c r="H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 spans="8:26" ht="14.25" customHeight="1" x14ac:dyDescent="0.3">
      <c r="H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 spans="8:26" ht="14.25" customHeight="1" x14ac:dyDescent="0.3">
      <c r="H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 spans="8:26" ht="14.25" customHeight="1" x14ac:dyDescent="0.3">
      <c r="H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 spans="8:26" ht="14.25" customHeight="1" x14ac:dyDescent="0.3">
      <c r="H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 spans="8:26" ht="14.25" customHeight="1" x14ac:dyDescent="0.3">
      <c r="H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 spans="8:26" ht="14.25" customHeight="1" x14ac:dyDescent="0.3">
      <c r="H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 spans="8:26" ht="14.25" customHeight="1" x14ac:dyDescent="0.3">
      <c r="H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 spans="8:26" ht="14.25" customHeight="1" x14ac:dyDescent="0.3">
      <c r="H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 spans="8:26" ht="14.25" customHeight="1" x14ac:dyDescent="0.3">
      <c r="H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 spans="8:26" ht="14.25" customHeight="1" x14ac:dyDescent="0.3">
      <c r="H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 spans="8:26" ht="14.25" customHeight="1" x14ac:dyDescent="0.3">
      <c r="H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 spans="8:26" ht="14.25" customHeight="1" x14ac:dyDescent="0.3">
      <c r="H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 spans="8:26" ht="14.25" customHeight="1" x14ac:dyDescent="0.3">
      <c r="H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 spans="8:26" ht="14.25" customHeight="1" x14ac:dyDescent="0.3">
      <c r="H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 spans="8:26" ht="14.25" customHeight="1" x14ac:dyDescent="0.3">
      <c r="H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 spans="8:26" ht="14.25" customHeight="1" x14ac:dyDescent="0.3">
      <c r="H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 spans="8:26" ht="14.25" customHeight="1" x14ac:dyDescent="0.3">
      <c r="H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 spans="8:26" ht="14.25" customHeight="1" x14ac:dyDescent="0.3">
      <c r="H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 spans="8:26" ht="14.25" customHeight="1" x14ac:dyDescent="0.3">
      <c r="H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 spans="8:26" ht="14.25" customHeight="1" x14ac:dyDescent="0.3">
      <c r="H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 spans="8:26" ht="14.25" customHeight="1" x14ac:dyDescent="0.3">
      <c r="H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 spans="8:26" ht="14.25" customHeight="1" x14ac:dyDescent="0.3">
      <c r="H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 spans="8:26" ht="14.25" customHeight="1" x14ac:dyDescent="0.3">
      <c r="H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 spans="8:26" ht="14.25" customHeight="1" x14ac:dyDescent="0.3">
      <c r="H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 spans="8:26" ht="14.25" customHeight="1" x14ac:dyDescent="0.3">
      <c r="H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 spans="8:26" ht="14.25" customHeight="1" x14ac:dyDescent="0.3">
      <c r="H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 spans="8:26" ht="14.25" customHeight="1" x14ac:dyDescent="0.3">
      <c r="H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 spans="8:26" ht="14.25" customHeight="1" x14ac:dyDescent="0.3">
      <c r="H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 spans="8:26" ht="14.25" customHeight="1" x14ac:dyDescent="0.3">
      <c r="H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 spans="8:26" ht="14.25" customHeight="1" x14ac:dyDescent="0.3">
      <c r="H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 spans="8:26" ht="14.25" customHeight="1" x14ac:dyDescent="0.3">
      <c r="H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 spans="8:26" ht="14.25" customHeight="1" x14ac:dyDescent="0.3">
      <c r="H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 spans="8:26" ht="14.25" customHeight="1" x14ac:dyDescent="0.3">
      <c r="H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 spans="8:26" ht="14.25" customHeight="1" x14ac:dyDescent="0.3">
      <c r="H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 spans="8:26" ht="14.25" customHeight="1" x14ac:dyDescent="0.3">
      <c r="H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 spans="8:26" ht="14.25" customHeight="1" x14ac:dyDescent="0.3">
      <c r="H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 spans="8:26" ht="14.25" customHeight="1" x14ac:dyDescent="0.3">
      <c r="H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 spans="8:26" ht="14.25" customHeight="1" x14ac:dyDescent="0.3">
      <c r="H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 spans="8:26" ht="14.25" customHeight="1" x14ac:dyDescent="0.3">
      <c r="H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 spans="8:26" ht="14.25" customHeight="1" x14ac:dyDescent="0.3">
      <c r="H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 spans="8:26" ht="14.25" customHeight="1" x14ac:dyDescent="0.3">
      <c r="H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 spans="8:26" ht="14.25" customHeight="1" x14ac:dyDescent="0.3">
      <c r="H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 spans="8:26" ht="14.25" customHeight="1" x14ac:dyDescent="0.3">
      <c r="H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 spans="8:26" ht="14.25" customHeight="1" x14ac:dyDescent="0.3">
      <c r="H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 spans="8:26" ht="14.25" customHeight="1" x14ac:dyDescent="0.3">
      <c r="H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 spans="8:26" ht="14.25" customHeight="1" x14ac:dyDescent="0.3">
      <c r="H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 spans="8:26" ht="14.25" customHeight="1" x14ac:dyDescent="0.3">
      <c r="H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 spans="8:26" ht="14.25" customHeight="1" x14ac:dyDescent="0.3">
      <c r="H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 spans="8:26" ht="14.25" customHeight="1" x14ac:dyDescent="0.3">
      <c r="H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 spans="8:26" ht="14.25" customHeight="1" x14ac:dyDescent="0.3">
      <c r="H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 spans="8:26" ht="14.25" customHeight="1" x14ac:dyDescent="0.3">
      <c r="H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 spans="8:26" ht="14.25" customHeight="1" x14ac:dyDescent="0.3">
      <c r="H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 spans="8:26" ht="14.25" customHeight="1" x14ac:dyDescent="0.3">
      <c r="H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 spans="8:26" ht="14.25" customHeight="1" x14ac:dyDescent="0.3">
      <c r="H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 spans="8:26" ht="14.25" customHeight="1" x14ac:dyDescent="0.3">
      <c r="H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 spans="8:26" ht="14.25" customHeight="1" x14ac:dyDescent="0.3">
      <c r="H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 spans="8:26" ht="14.25" customHeight="1" x14ac:dyDescent="0.3">
      <c r="H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 spans="8:26" ht="14.25" customHeight="1" x14ac:dyDescent="0.3">
      <c r="H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 spans="8:26" ht="14.25" customHeight="1" x14ac:dyDescent="0.3">
      <c r="H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 spans="8:26" ht="14.25" customHeight="1" x14ac:dyDescent="0.3">
      <c r="H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 spans="8:26" ht="14.25" customHeight="1" x14ac:dyDescent="0.3">
      <c r="H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 spans="8:26" ht="14.25" customHeight="1" x14ac:dyDescent="0.3">
      <c r="H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 spans="8:26" ht="14.25" customHeight="1" x14ac:dyDescent="0.3">
      <c r="H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 spans="8:26" ht="14.25" customHeight="1" x14ac:dyDescent="0.3">
      <c r="H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 spans="8:26" ht="14.25" customHeight="1" x14ac:dyDescent="0.3">
      <c r="H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 spans="8:26" ht="14.25" customHeight="1" x14ac:dyDescent="0.3">
      <c r="H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 spans="8:26" ht="14.25" customHeight="1" x14ac:dyDescent="0.3">
      <c r="H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 spans="8:26" ht="14.25" customHeight="1" x14ac:dyDescent="0.3">
      <c r="H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 spans="8:26" ht="14.25" customHeight="1" x14ac:dyDescent="0.3">
      <c r="H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 spans="8:26" ht="14.25" customHeight="1" x14ac:dyDescent="0.3">
      <c r="H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 spans="8:26" ht="14.25" customHeight="1" x14ac:dyDescent="0.3">
      <c r="H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 spans="8:26" ht="14.25" customHeight="1" x14ac:dyDescent="0.3">
      <c r="H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 spans="8:26" ht="14.25" customHeight="1" x14ac:dyDescent="0.3">
      <c r="H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 spans="8:26" ht="14.25" customHeight="1" x14ac:dyDescent="0.3">
      <c r="H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 spans="8:26" ht="14.25" customHeight="1" x14ac:dyDescent="0.3">
      <c r="H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 spans="8:26" ht="14.25" customHeight="1" x14ac:dyDescent="0.3">
      <c r="H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 spans="8:26" ht="14.25" customHeight="1" x14ac:dyDescent="0.3">
      <c r="H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 spans="8:26" ht="14.25" customHeight="1" x14ac:dyDescent="0.3">
      <c r="H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 spans="8:26" ht="14.25" customHeight="1" x14ac:dyDescent="0.3">
      <c r="H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 spans="8:26" ht="14.25" customHeight="1" x14ac:dyDescent="0.3">
      <c r="H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 spans="8:26" ht="14.25" customHeight="1" x14ac:dyDescent="0.3">
      <c r="H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 spans="8:26" ht="14.25" customHeight="1" x14ac:dyDescent="0.3">
      <c r="H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 spans="8:26" ht="14.25" customHeight="1" x14ac:dyDescent="0.3">
      <c r="H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 spans="8:26" ht="14.25" customHeight="1" x14ac:dyDescent="0.3">
      <c r="H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 spans="8:26" ht="14.25" customHeight="1" x14ac:dyDescent="0.3">
      <c r="H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 spans="8:26" ht="14.25" customHeight="1" x14ac:dyDescent="0.3">
      <c r="H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 spans="8:26" ht="14.25" customHeight="1" x14ac:dyDescent="0.3">
      <c r="H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 spans="8:26" ht="14.25" customHeight="1" x14ac:dyDescent="0.3">
      <c r="H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 spans="8:26" ht="14.25" customHeight="1" x14ac:dyDescent="0.3">
      <c r="H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 spans="8:26" ht="14.25" customHeight="1" x14ac:dyDescent="0.3">
      <c r="H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 spans="8:26" ht="14.25" customHeight="1" x14ac:dyDescent="0.3">
      <c r="H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 spans="8:26" ht="14.25" customHeight="1" x14ac:dyDescent="0.3">
      <c r="H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 spans="8:26" ht="14.25" customHeight="1" x14ac:dyDescent="0.3">
      <c r="H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 spans="8:26" ht="14.25" customHeight="1" x14ac:dyDescent="0.3">
      <c r="H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 spans="8:26" ht="14.25" customHeight="1" x14ac:dyDescent="0.3">
      <c r="H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 spans="8:26" ht="14.25" customHeight="1" x14ac:dyDescent="0.3">
      <c r="H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 spans="8:26" ht="14.25" customHeight="1" x14ac:dyDescent="0.3">
      <c r="H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 spans="8:26" ht="14.25" customHeight="1" x14ac:dyDescent="0.3">
      <c r="H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 spans="8:26" ht="14.25" customHeight="1" x14ac:dyDescent="0.3">
      <c r="H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 spans="8:26" ht="14.25" customHeight="1" x14ac:dyDescent="0.3">
      <c r="H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 spans="8:26" ht="14.25" customHeight="1" x14ac:dyDescent="0.3">
      <c r="H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 spans="8:26" ht="14.25" customHeight="1" x14ac:dyDescent="0.3">
      <c r="H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 spans="8:26" ht="14.25" customHeight="1" x14ac:dyDescent="0.3">
      <c r="H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 spans="8:26" ht="14.25" customHeight="1" x14ac:dyDescent="0.3">
      <c r="H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 spans="8:26" ht="14.25" customHeight="1" x14ac:dyDescent="0.3">
      <c r="H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 spans="8:26" ht="14.25" customHeight="1" x14ac:dyDescent="0.3">
      <c r="H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 spans="8:26" ht="14.25" customHeight="1" x14ac:dyDescent="0.3">
      <c r="H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 spans="8:26" ht="14.25" customHeight="1" x14ac:dyDescent="0.3">
      <c r="H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 spans="8:26" ht="14.25" customHeight="1" x14ac:dyDescent="0.3">
      <c r="H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 spans="8:26" ht="14.25" customHeight="1" x14ac:dyDescent="0.3">
      <c r="H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 spans="8:26" ht="14.25" customHeight="1" x14ac:dyDescent="0.3">
      <c r="H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 spans="8:26" ht="14.25" customHeight="1" x14ac:dyDescent="0.3">
      <c r="H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 spans="8:26" ht="14.25" customHeight="1" x14ac:dyDescent="0.3">
      <c r="H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 spans="8:26" ht="14.25" customHeight="1" x14ac:dyDescent="0.3">
      <c r="H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 spans="8:26" ht="14.25" customHeight="1" x14ac:dyDescent="0.3">
      <c r="H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 spans="8:26" ht="14.25" customHeight="1" x14ac:dyDescent="0.3">
      <c r="H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 spans="8:26" ht="14.25" customHeight="1" x14ac:dyDescent="0.3">
      <c r="H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 spans="8:26" ht="14.25" customHeight="1" x14ac:dyDescent="0.3">
      <c r="H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 spans="8:26" ht="14.25" customHeight="1" x14ac:dyDescent="0.3">
      <c r="H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 spans="8:26" ht="14.25" customHeight="1" x14ac:dyDescent="0.3">
      <c r="H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 spans="8:26" ht="14.25" customHeight="1" x14ac:dyDescent="0.3">
      <c r="H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 spans="8:26" ht="14.25" customHeight="1" x14ac:dyDescent="0.3">
      <c r="H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 spans="8:26" ht="14.25" customHeight="1" x14ac:dyDescent="0.3">
      <c r="H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 spans="8:26" ht="14.25" customHeight="1" x14ac:dyDescent="0.3">
      <c r="H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 spans="8:26" ht="14.25" customHeight="1" x14ac:dyDescent="0.3">
      <c r="H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 spans="8:26" ht="14.25" customHeight="1" x14ac:dyDescent="0.3">
      <c r="H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 spans="8:26" ht="14.25" customHeight="1" x14ac:dyDescent="0.3">
      <c r="H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 spans="8:26" ht="14.25" customHeight="1" x14ac:dyDescent="0.3">
      <c r="H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 spans="8:26" ht="14.25" customHeight="1" x14ac:dyDescent="0.3">
      <c r="H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 spans="8:26" ht="14.25" customHeight="1" x14ac:dyDescent="0.3">
      <c r="H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 spans="8:26" ht="14.25" customHeight="1" x14ac:dyDescent="0.3">
      <c r="H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 spans="8:26" ht="14.25" customHeight="1" x14ac:dyDescent="0.3">
      <c r="H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 spans="8:26" ht="14.25" customHeight="1" x14ac:dyDescent="0.3">
      <c r="H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 spans="8:26" ht="14.25" customHeight="1" x14ac:dyDescent="0.3">
      <c r="H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 spans="8:26" ht="14.25" customHeight="1" x14ac:dyDescent="0.3">
      <c r="H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 spans="8:26" ht="14.25" customHeight="1" x14ac:dyDescent="0.3">
      <c r="H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 spans="8:26" ht="14.25" customHeight="1" x14ac:dyDescent="0.3">
      <c r="H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 spans="8:26" ht="14.25" customHeight="1" x14ac:dyDescent="0.3">
      <c r="H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 spans="8:26" ht="14.25" customHeight="1" x14ac:dyDescent="0.3">
      <c r="H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 spans="8:26" ht="14.25" customHeight="1" x14ac:dyDescent="0.3">
      <c r="H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 spans="8:26" ht="14.25" customHeight="1" x14ac:dyDescent="0.3">
      <c r="H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 spans="8:26" ht="14.25" customHeight="1" x14ac:dyDescent="0.3">
      <c r="H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 spans="8:26" ht="14.25" customHeight="1" x14ac:dyDescent="0.3">
      <c r="H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 spans="8:26" ht="14.25" customHeight="1" x14ac:dyDescent="0.3">
      <c r="H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 spans="8:26" ht="14.25" customHeight="1" x14ac:dyDescent="0.3">
      <c r="H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 spans="8:26" ht="14.25" customHeight="1" x14ac:dyDescent="0.3">
      <c r="H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 spans="8:26" ht="14.25" customHeight="1" x14ac:dyDescent="0.3">
      <c r="H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 spans="8:26" ht="14.25" customHeight="1" x14ac:dyDescent="0.3">
      <c r="H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 spans="8:26" ht="14.25" customHeight="1" x14ac:dyDescent="0.3">
      <c r="H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 spans="8:26" ht="14.25" customHeight="1" x14ac:dyDescent="0.3">
      <c r="H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 spans="8:26" ht="14.25" customHeight="1" x14ac:dyDescent="0.3">
      <c r="H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 spans="8:26" ht="14.25" customHeight="1" x14ac:dyDescent="0.3">
      <c r="H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 spans="8:26" ht="14.25" customHeight="1" x14ac:dyDescent="0.3">
      <c r="H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 spans="8:26" ht="14.25" customHeight="1" x14ac:dyDescent="0.3">
      <c r="H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 spans="8:26" ht="14.25" customHeight="1" x14ac:dyDescent="0.3">
      <c r="H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 spans="8:26" ht="14.25" customHeight="1" x14ac:dyDescent="0.3">
      <c r="H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 spans="8:26" ht="14.25" customHeight="1" x14ac:dyDescent="0.3">
      <c r="H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 spans="8:26" ht="14.25" customHeight="1" x14ac:dyDescent="0.3">
      <c r="H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 spans="8:26" ht="14.25" customHeight="1" x14ac:dyDescent="0.3">
      <c r="H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 spans="8:26" ht="14.25" customHeight="1" x14ac:dyDescent="0.3">
      <c r="H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 spans="8:26" ht="14.25" customHeight="1" x14ac:dyDescent="0.3">
      <c r="H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 spans="8:26" ht="14.25" customHeight="1" x14ac:dyDescent="0.3">
      <c r="H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 spans="8:26" ht="14.25" customHeight="1" x14ac:dyDescent="0.3">
      <c r="H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 spans="8:26" ht="14.25" customHeight="1" x14ac:dyDescent="0.3">
      <c r="H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 spans="8:26" ht="14.25" customHeight="1" x14ac:dyDescent="0.3">
      <c r="H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 spans="8:26" ht="14.25" customHeight="1" x14ac:dyDescent="0.3">
      <c r="H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 spans="8:26" ht="14.25" customHeight="1" x14ac:dyDescent="0.3">
      <c r="H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 spans="8:26" ht="14.25" customHeight="1" x14ac:dyDescent="0.3">
      <c r="H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 spans="8:26" ht="14.25" customHeight="1" x14ac:dyDescent="0.3">
      <c r="H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 spans="8:26" ht="14.25" customHeight="1" x14ac:dyDescent="0.3">
      <c r="H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 spans="8:26" ht="14.25" customHeight="1" x14ac:dyDescent="0.3">
      <c r="H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 spans="8:26" ht="14.25" customHeight="1" x14ac:dyDescent="0.3">
      <c r="H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 spans="8:26" ht="14.25" customHeight="1" x14ac:dyDescent="0.3">
      <c r="H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 spans="8:26" ht="14.25" customHeight="1" x14ac:dyDescent="0.3">
      <c r="H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 spans="8:26" ht="14.25" customHeight="1" x14ac:dyDescent="0.3">
      <c r="H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 spans="8:26" ht="14.25" customHeight="1" x14ac:dyDescent="0.3">
      <c r="H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 spans="8:26" ht="14.25" customHeight="1" x14ac:dyDescent="0.3">
      <c r="H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 spans="8:26" ht="14.25" customHeight="1" x14ac:dyDescent="0.3">
      <c r="H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 spans="8:26" ht="14.25" customHeight="1" x14ac:dyDescent="0.3">
      <c r="H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 spans="8:26" ht="14.25" customHeight="1" x14ac:dyDescent="0.3">
      <c r="H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 spans="8:26" ht="14.25" customHeight="1" x14ac:dyDescent="0.3">
      <c r="H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 spans="8:26" ht="14.25" customHeight="1" x14ac:dyDescent="0.3">
      <c r="H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 spans="8:26" ht="14.25" customHeight="1" x14ac:dyDescent="0.3">
      <c r="H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 spans="8:26" ht="14.25" customHeight="1" x14ac:dyDescent="0.3">
      <c r="H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 spans="8:26" ht="14.25" customHeight="1" x14ac:dyDescent="0.3">
      <c r="H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 spans="8:26" ht="14.25" customHeight="1" x14ac:dyDescent="0.3">
      <c r="H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 spans="8:26" ht="14.25" customHeight="1" x14ac:dyDescent="0.3">
      <c r="H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 spans="8:26" ht="14.25" customHeight="1" x14ac:dyDescent="0.3">
      <c r="H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 spans="8:26" ht="14.25" customHeight="1" x14ac:dyDescent="0.3">
      <c r="H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 spans="8:26" ht="14.25" customHeight="1" x14ac:dyDescent="0.3">
      <c r="H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 spans="8:26" ht="14.25" customHeight="1" x14ac:dyDescent="0.3">
      <c r="H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 spans="8:26" ht="14.25" customHeight="1" x14ac:dyDescent="0.3">
      <c r="H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 spans="8:26" ht="14.25" customHeight="1" x14ac:dyDescent="0.3">
      <c r="H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 spans="8:26" ht="14.25" customHeight="1" x14ac:dyDescent="0.3">
      <c r="H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 spans="8:26" ht="14.25" customHeight="1" x14ac:dyDescent="0.3">
      <c r="H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 spans="8:26" ht="14.25" customHeight="1" x14ac:dyDescent="0.3">
      <c r="H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 spans="8:26" ht="14.25" customHeight="1" x14ac:dyDescent="0.3">
      <c r="H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 spans="8:26" ht="14.25" customHeight="1" x14ac:dyDescent="0.3">
      <c r="H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 spans="8:26" ht="14.25" customHeight="1" x14ac:dyDescent="0.3">
      <c r="H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 spans="8:26" ht="14.25" customHeight="1" x14ac:dyDescent="0.3">
      <c r="H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 spans="8:26" ht="14.25" customHeight="1" x14ac:dyDescent="0.3">
      <c r="H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 spans="8:26" ht="14.25" customHeight="1" x14ac:dyDescent="0.3">
      <c r="H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 spans="8:26" ht="14.25" customHeight="1" x14ac:dyDescent="0.3">
      <c r="H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 spans="8:26" ht="14.25" customHeight="1" x14ac:dyDescent="0.3">
      <c r="H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 spans="8:26" ht="14.25" customHeight="1" x14ac:dyDescent="0.3">
      <c r="H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 spans="8:26" ht="14.25" customHeight="1" x14ac:dyDescent="0.3">
      <c r="H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 spans="8:26" ht="14.25" customHeight="1" x14ac:dyDescent="0.3">
      <c r="H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 spans="8:26" ht="14.25" customHeight="1" x14ac:dyDescent="0.3">
      <c r="H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 spans="8:26" ht="14.25" customHeight="1" x14ac:dyDescent="0.3">
      <c r="H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 spans="8:26" ht="14.25" customHeight="1" x14ac:dyDescent="0.3">
      <c r="H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 spans="8:26" ht="14.25" customHeight="1" x14ac:dyDescent="0.3">
      <c r="H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 spans="8:26" ht="14.25" customHeight="1" x14ac:dyDescent="0.3">
      <c r="H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 spans="8:26" ht="14.25" customHeight="1" x14ac:dyDescent="0.3">
      <c r="H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 spans="8:26" ht="14.25" customHeight="1" x14ac:dyDescent="0.3">
      <c r="H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 spans="8:26" ht="14.25" customHeight="1" x14ac:dyDescent="0.3">
      <c r="H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 spans="8:26" ht="14.25" customHeight="1" x14ac:dyDescent="0.3">
      <c r="H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 spans="8:26" ht="14.25" customHeight="1" x14ac:dyDescent="0.3">
      <c r="H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 spans="8:26" ht="14.25" customHeight="1" x14ac:dyDescent="0.3">
      <c r="H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 spans="8:26" ht="14.25" customHeight="1" x14ac:dyDescent="0.3">
      <c r="H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 spans="8:26" ht="14.25" customHeight="1" x14ac:dyDescent="0.3">
      <c r="H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 spans="8:26" ht="14.25" customHeight="1" x14ac:dyDescent="0.3">
      <c r="H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 spans="8:26" ht="14.25" customHeight="1" x14ac:dyDescent="0.3">
      <c r="H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 spans="8:26" ht="14.25" customHeight="1" x14ac:dyDescent="0.3">
      <c r="H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 spans="8:26" ht="14.25" customHeight="1" x14ac:dyDescent="0.3">
      <c r="H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 spans="8:26" ht="14.25" customHeight="1" x14ac:dyDescent="0.3">
      <c r="H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 spans="8:26" ht="14.25" customHeight="1" x14ac:dyDescent="0.3">
      <c r="H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 spans="8:26" ht="14.25" customHeight="1" x14ac:dyDescent="0.3">
      <c r="H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 spans="8:26" ht="14.25" customHeight="1" x14ac:dyDescent="0.3">
      <c r="H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 spans="8:26" ht="14.25" customHeight="1" x14ac:dyDescent="0.3">
      <c r="H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 spans="8:26" ht="14.25" customHeight="1" x14ac:dyDescent="0.3">
      <c r="H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 spans="8:26" ht="14.25" customHeight="1" x14ac:dyDescent="0.3">
      <c r="H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 spans="8:26" ht="14.25" customHeight="1" x14ac:dyDescent="0.3">
      <c r="H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 spans="8:26" ht="14.25" customHeight="1" x14ac:dyDescent="0.3">
      <c r="H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 spans="8:26" ht="14.25" customHeight="1" x14ac:dyDescent="0.3">
      <c r="H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 spans="8:26" ht="14.25" customHeight="1" x14ac:dyDescent="0.3">
      <c r="H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 spans="8:26" ht="14.25" customHeight="1" x14ac:dyDescent="0.3">
      <c r="H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 spans="8:26" ht="14.25" customHeight="1" x14ac:dyDescent="0.3">
      <c r="H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 spans="8:26" ht="14.25" customHeight="1" x14ac:dyDescent="0.3">
      <c r="H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 spans="8:26" ht="14.25" customHeight="1" x14ac:dyDescent="0.3">
      <c r="H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 spans="8:26" ht="14.25" customHeight="1" x14ac:dyDescent="0.3">
      <c r="H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 spans="8:26" ht="14.25" customHeight="1" x14ac:dyDescent="0.3">
      <c r="H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 spans="8:26" ht="14.25" customHeight="1" x14ac:dyDescent="0.3">
      <c r="H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 spans="8:26" ht="14.25" customHeight="1" x14ac:dyDescent="0.3">
      <c r="H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 spans="8:26" ht="14.25" customHeight="1" x14ac:dyDescent="0.3">
      <c r="H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 spans="8:26" ht="14.25" customHeight="1" x14ac:dyDescent="0.3">
      <c r="H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 spans="8:26" ht="14.25" customHeight="1" x14ac:dyDescent="0.3">
      <c r="H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 spans="8:26" ht="14.25" customHeight="1" x14ac:dyDescent="0.3">
      <c r="H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 spans="8:26" ht="14.25" customHeight="1" x14ac:dyDescent="0.3">
      <c r="H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 spans="8:26" ht="14.25" customHeight="1" x14ac:dyDescent="0.3">
      <c r="H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 spans="8:26" ht="14.25" customHeight="1" x14ac:dyDescent="0.3">
      <c r="H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 spans="8:26" ht="14.25" customHeight="1" x14ac:dyDescent="0.3">
      <c r="H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 spans="8:26" ht="14.25" customHeight="1" x14ac:dyDescent="0.3">
      <c r="H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 spans="8:26" ht="14.25" customHeight="1" x14ac:dyDescent="0.3">
      <c r="H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 spans="8:26" ht="14.25" customHeight="1" x14ac:dyDescent="0.3">
      <c r="H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 spans="8:26" ht="14.25" customHeight="1" x14ac:dyDescent="0.3">
      <c r="H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 spans="8:26" ht="14.25" customHeight="1" x14ac:dyDescent="0.3">
      <c r="H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 spans="8:26" ht="14.25" customHeight="1" x14ac:dyDescent="0.3">
      <c r="H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 spans="8:26" ht="14.25" customHeight="1" x14ac:dyDescent="0.3">
      <c r="H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 spans="8:26" ht="14.25" customHeight="1" x14ac:dyDescent="0.3">
      <c r="H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 spans="8:26" ht="14.25" customHeight="1" x14ac:dyDescent="0.3">
      <c r="H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 spans="8:26" ht="14.25" customHeight="1" x14ac:dyDescent="0.3">
      <c r="H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 spans="8:26" ht="14.25" customHeight="1" x14ac:dyDescent="0.3">
      <c r="H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 spans="8:26" ht="14.25" customHeight="1" x14ac:dyDescent="0.3">
      <c r="H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 spans="8:26" ht="14.25" customHeight="1" x14ac:dyDescent="0.3">
      <c r="H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 spans="8:26" ht="14.25" customHeight="1" x14ac:dyDescent="0.3">
      <c r="H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 spans="8:26" ht="14.25" customHeight="1" x14ac:dyDescent="0.3">
      <c r="H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 spans="8:26" ht="14.25" customHeight="1" x14ac:dyDescent="0.3">
      <c r="H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 spans="8:26" ht="14.25" customHeight="1" x14ac:dyDescent="0.3">
      <c r="H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 spans="8:26" ht="14.25" customHeight="1" x14ac:dyDescent="0.3">
      <c r="H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 spans="8:26" ht="14.25" customHeight="1" x14ac:dyDescent="0.3">
      <c r="H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 spans="8:26" ht="14.25" customHeight="1" x14ac:dyDescent="0.3">
      <c r="H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 spans="8:26" ht="14.25" customHeight="1" x14ac:dyDescent="0.3">
      <c r="H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 spans="8:26" ht="14.25" customHeight="1" x14ac:dyDescent="0.3">
      <c r="H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 spans="8:26" ht="14.25" customHeight="1" x14ac:dyDescent="0.3">
      <c r="H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 spans="8:26" ht="14.25" customHeight="1" x14ac:dyDescent="0.3">
      <c r="H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 spans="8:26" ht="14.25" customHeight="1" x14ac:dyDescent="0.3">
      <c r="H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 spans="8:26" ht="14.25" customHeight="1" x14ac:dyDescent="0.3">
      <c r="H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 spans="8:26" ht="14.25" customHeight="1" x14ac:dyDescent="0.3">
      <c r="H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 spans="8:26" ht="14.25" customHeight="1" x14ac:dyDescent="0.3">
      <c r="H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 spans="8:26" ht="14.25" customHeight="1" x14ac:dyDescent="0.3">
      <c r="H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 spans="8:26" ht="14.25" customHeight="1" x14ac:dyDescent="0.3">
      <c r="H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 spans="8:26" ht="14.25" customHeight="1" x14ac:dyDescent="0.3">
      <c r="H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 spans="8:26" ht="14.25" customHeight="1" x14ac:dyDescent="0.3">
      <c r="H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 spans="8:26" ht="14.25" customHeight="1" x14ac:dyDescent="0.3">
      <c r="H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 spans="8:26" ht="14.25" customHeight="1" x14ac:dyDescent="0.3">
      <c r="H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 spans="8:26" ht="14.25" customHeight="1" x14ac:dyDescent="0.3">
      <c r="H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 spans="8:26" ht="14.25" customHeight="1" x14ac:dyDescent="0.3">
      <c r="H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 spans="8:26" ht="14.25" customHeight="1" x14ac:dyDescent="0.3">
      <c r="H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 spans="8:26" ht="14.25" customHeight="1" x14ac:dyDescent="0.3">
      <c r="H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 spans="8:26" ht="14.25" customHeight="1" x14ac:dyDescent="0.3">
      <c r="H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 spans="8:26" ht="14.25" customHeight="1" x14ac:dyDescent="0.3">
      <c r="H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 spans="8:26" ht="14.25" customHeight="1" x14ac:dyDescent="0.3">
      <c r="H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 spans="8:26" ht="14.25" customHeight="1" x14ac:dyDescent="0.3">
      <c r="H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 spans="8:26" ht="14.25" customHeight="1" x14ac:dyDescent="0.3">
      <c r="H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 spans="8:26" ht="14.25" customHeight="1" x14ac:dyDescent="0.3">
      <c r="H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 spans="8:26" ht="14.25" customHeight="1" x14ac:dyDescent="0.3">
      <c r="H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 spans="8:26" ht="14.25" customHeight="1" x14ac:dyDescent="0.3">
      <c r="H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 spans="8:26" ht="14.25" customHeight="1" x14ac:dyDescent="0.3">
      <c r="H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 spans="8:26" ht="14.25" customHeight="1" x14ac:dyDescent="0.3">
      <c r="H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 spans="8:26" ht="14.25" customHeight="1" x14ac:dyDescent="0.3">
      <c r="H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 spans="8:26" ht="14.25" customHeight="1" x14ac:dyDescent="0.3">
      <c r="H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 spans="8:26" ht="14.25" customHeight="1" x14ac:dyDescent="0.3">
      <c r="H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 spans="8:26" ht="14.25" customHeight="1" x14ac:dyDescent="0.3">
      <c r="H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 spans="8:26" ht="14.25" customHeight="1" x14ac:dyDescent="0.3">
      <c r="H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 spans="8:26" ht="14.25" customHeight="1" x14ac:dyDescent="0.3">
      <c r="H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 spans="8:26" ht="14.25" customHeight="1" x14ac:dyDescent="0.3">
      <c r="H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 spans="8:26" ht="14.25" customHeight="1" x14ac:dyDescent="0.3">
      <c r="H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 spans="8:26" ht="14.25" customHeight="1" x14ac:dyDescent="0.3">
      <c r="H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 spans="8:26" ht="14.25" customHeight="1" x14ac:dyDescent="0.3">
      <c r="H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 spans="8:26" ht="14.25" customHeight="1" x14ac:dyDescent="0.3">
      <c r="H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 spans="8:26" ht="14.25" customHeight="1" x14ac:dyDescent="0.3">
      <c r="H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 spans="8:26" ht="14.25" customHeight="1" x14ac:dyDescent="0.3">
      <c r="H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 spans="8:26" ht="14.25" customHeight="1" x14ac:dyDescent="0.3">
      <c r="H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 spans="8:26" ht="14.25" customHeight="1" x14ac:dyDescent="0.3">
      <c r="H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 spans="8:26" ht="14.25" customHeight="1" x14ac:dyDescent="0.3">
      <c r="H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 spans="8:26" ht="14.25" customHeight="1" x14ac:dyDescent="0.3">
      <c r="H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 spans="8:26" ht="14.25" customHeight="1" x14ac:dyDescent="0.3">
      <c r="H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 spans="8:26" ht="14.25" customHeight="1" x14ac:dyDescent="0.3">
      <c r="H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 spans="8:26" ht="14.25" customHeight="1" x14ac:dyDescent="0.3">
      <c r="H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 spans="8:26" ht="14.25" customHeight="1" x14ac:dyDescent="0.3">
      <c r="H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 spans="8:26" ht="14.25" customHeight="1" x14ac:dyDescent="0.3">
      <c r="H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 spans="8:26" ht="14.25" customHeight="1" x14ac:dyDescent="0.3">
      <c r="H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 spans="8:26" ht="14.25" customHeight="1" x14ac:dyDescent="0.3">
      <c r="H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 spans="8:26" ht="14.25" customHeight="1" x14ac:dyDescent="0.3">
      <c r="H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 spans="8:26" ht="14.25" customHeight="1" x14ac:dyDescent="0.3">
      <c r="H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 spans="8:26" ht="14.25" customHeight="1" x14ac:dyDescent="0.3">
      <c r="H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 spans="8:26" ht="14.25" customHeight="1" x14ac:dyDescent="0.3">
      <c r="H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 spans="8:26" ht="14.25" customHeight="1" x14ac:dyDescent="0.3">
      <c r="H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 spans="8:26" ht="14.25" customHeight="1" x14ac:dyDescent="0.3">
      <c r="H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 spans="8:26" ht="14.25" customHeight="1" x14ac:dyDescent="0.3">
      <c r="H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 spans="8:26" ht="14.25" customHeight="1" x14ac:dyDescent="0.3">
      <c r="H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 spans="8:26" ht="14.25" customHeight="1" x14ac:dyDescent="0.3">
      <c r="H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 spans="8:26" ht="14.25" customHeight="1" x14ac:dyDescent="0.3">
      <c r="H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 spans="8:26" ht="14.25" customHeight="1" x14ac:dyDescent="0.3">
      <c r="H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 spans="8:26" ht="14.25" customHeight="1" x14ac:dyDescent="0.3">
      <c r="H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 spans="8:26" ht="14.25" customHeight="1" x14ac:dyDescent="0.3">
      <c r="H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 spans="8:26" ht="14.25" customHeight="1" x14ac:dyDescent="0.3">
      <c r="H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 spans="8:26" ht="14.25" customHeight="1" x14ac:dyDescent="0.3">
      <c r="H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 spans="8:26" ht="14.25" customHeight="1" x14ac:dyDescent="0.3">
      <c r="H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 spans="8:26" ht="14.25" customHeight="1" x14ac:dyDescent="0.3">
      <c r="H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 spans="8:26" ht="14.25" customHeight="1" x14ac:dyDescent="0.3">
      <c r="H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 spans="8:26" ht="14.25" customHeight="1" x14ac:dyDescent="0.3">
      <c r="H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 spans="8:26" ht="14.25" customHeight="1" x14ac:dyDescent="0.3">
      <c r="H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 spans="8:26" ht="14.25" customHeight="1" x14ac:dyDescent="0.3">
      <c r="H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 spans="8:26" ht="14.25" customHeight="1" x14ac:dyDescent="0.3">
      <c r="H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 spans="8:26" ht="14.25" customHeight="1" x14ac:dyDescent="0.3">
      <c r="H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 spans="8:26" ht="14.25" customHeight="1" x14ac:dyDescent="0.3">
      <c r="H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 spans="8:26" ht="14.25" customHeight="1" x14ac:dyDescent="0.3">
      <c r="H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 spans="8:26" ht="14.25" customHeight="1" x14ac:dyDescent="0.3">
      <c r="H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 spans="8:26" ht="14.25" customHeight="1" x14ac:dyDescent="0.3">
      <c r="H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 spans="8:26" ht="14.25" customHeight="1" x14ac:dyDescent="0.3">
      <c r="H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 spans="8:26" ht="14.25" customHeight="1" x14ac:dyDescent="0.3">
      <c r="H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 spans="8:26" ht="14.25" customHeight="1" x14ac:dyDescent="0.3">
      <c r="H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 spans="8:26" ht="14.25" customHeight="1" x14ac:dyDescent="0.3">
      <c r="H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 spans="8:26" ht="14.25" customHeight="1" x14ac:dyDescent="0.3">
      <c r="H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 spans="8:26" ht="14.25" customHeight="1" x14ac:dyDescent="0.3">
      <c r="H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 spans="8:26" ht="14.25" customHeight="1" x14ac:dyDescent="0.3">
      <c r="H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 spans="8:26" ht="14.25" customHeight="1" x14ac:dyDescent="0.3">
      <c r="H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 spans="8:26" ht="14.25" customHeight="1" x14ac:dyDescent="0.3">
      <c r="H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 spans="8:26" ht="14.25" customHeight="1" x14ac:dyDescent="0.3">
      <c r="H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 spans="8:26" ht="14.25" customHeight="1" x14ac:dyDescent="0.3">
      <c r="H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 spans="8:26" ht="14.25" customHeight="1" x14ac:dyDescent="0.3">
      <c r="H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 spans="8:26" ht="14.25" customHeight="1" x14ac:dyDescent="0.3">
      <c r="H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 spans="8:26" ht="14.25" customHeight="1" x14ac:dyDescent="0.3">
      <c r="H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 spans="8:26" ht="14.25" customHeight="1" x14ac:dyDescent="0.3">
      <c r="H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 spans="8:26" ht="14.25" customHeight="1" x14ac:dyDescent="0.3">
      <c r="H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 spans="8:26" ht="14.25" customHeight="1" x14ac:dyDescent="0.3">
      <c r="H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 spans="8:26" ht="14.25" customHeight="1" x14ac:dyDescent="0.3">
      <c r="H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 spans="8:26" ht="14.25" customHeight="1" x14ac:dyDescent="0.3">
      <c r="H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 spans="8:26" ht="14.25" customHeight="1" x14ac:dyDescent="0.3">
      <c r="H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 spans="8:26" ht="14.25" customHeight="1" x14ac:dyDescent="0.3">
      <c r="H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 spans="8:26" ht="14.25" customHeight="1" x14ac:dyDescent="0.3">
      <c r="H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 spans="8:26" ht="14.25" customHeight="1" x14ac:dyDescent="0.3">
      <c r="H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 spans="8:26" ht="14.25" customHeight="1" x14ac:dyDescent="0.3">
      <c r="H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 spans="8:26" ht="14.25" customHeight="1" x14ac:dyDescent="0.3">
      <c r="H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 spans="8:26" ht="14.25" customHeight="1" x14ac:dyDescent="0.3">
      <c r="H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 spans="8:26" ht="14.25" customHeight="1" x14ac:dyDescent="0.3">
      <c r="H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 spans="8:26" ht="14.25" customHeight="1" x14ac:dyDescent="0.3">
      <c r="H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 spans="8:26" ht="14.25" customHeight="1" x14ac:dyDescent="0.3">
      <c r="H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 spans="8:26" ht="14.25" customHeight="1" x14ac:dyDescent="0.3">
      <c r="H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 spans="8:26" ht="14.25" customHeight="1" x14ac:dyDescent="0.3">
      <c r="H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 spans="8:26" ht="14.25" customHeight="1" x14ac:dyDescent="0.3">
      <c r="H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 spans="8:26" ht="14.25" customHeight="1" x14ac:dyDescent="0.3">
      <c r="H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 spans="8:26" ht="14.25" customHeight="1" x14ac:dyDescent="0.3">
      <c r="H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 spans="8:26" ht="14.25" customHeight="1" x14ac:dyDescent="0.3">
      <c r="H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 spans="8:26" ht="14.25" customHeight="1" x14ac:dyDescent="0.3">
      <c r="H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 spans="8:26" ht="14.25" customHeight="1" x14ac:dyDescent="0.3">
      <c r="H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 spans="8:26" ht="14.25" customHeight="1" x14ac:dyDescent="0.3">
      <c r="H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 spans="8:26" ht="14.25" customHeight="1" x14ac:dyDescent="0.3">
      <c r="H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 spans="8:26" ht="14.25" customHeight="1" x14ac:dyDescent="0.3">
      <c r="H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 spans="8:26" ht="14.25" customHeight="1" x14ac:dyDescent="0.3">
      <c r="H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 spans="8:26" ht="14.25" customHeight="1" x14ac:dyDescent="0.3">
      <c r="H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 spans="8:26" ht="14.25" customHeight="1" x14ac:dyDescent="0.3">
      <c r="H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 spans="8:26" ht="14.25" customHeight="1" x14ac:dyDescent="0.3">
      <c r="H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 spans="8:26" ht="14.25" customHeight="1" x14ac:dyDescent="0.3">
      <c r="H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 spans="8:26" ht="14.25" customHeight="1" x14ac:dyDescent="0.3">
      <c r="H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 spans="8:26" ht="14.25" customHeight="1" x14ac:dyDescent="0.3">
      <c r="H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 spans="8:26" ht="14.25" customHeight="1" x14ac:dyDescent="0.3">
      <c r="H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 spans="8:26" ht="14.25" customHeight="1" x14ac:dyDescent="0.3">
      <c r="H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 spans="8:26" ht="14.25" customHeight="1" x14ac:dyDescent="0.3">
      <c r="H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 spans="8:26" ht="14.25" customHeight="1" x14ac:dyDescent="0.3">
      <c r="H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 spans="8:26" ht="14.25" customHeight="1" x14ac:dyDescent="0.3">
      <c r="H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 spans="8:26" ht="14.25" customHeight="1" x14ac:dyDescent="0.3">
      <c r="H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 spans="8:26" ht="14.25" customHeight="1" x14ac:dyDescent="0.3">
      <c r="H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 spans="8:26" ht="14.25" customHeight="1" x14ac:dyDescent="0.3">
      <c r="H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 spans="8:26" ht="14.25" customHeight="1" x14ac:dyDescent="0.3">
      <c r="H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 spans="8:26" ht="14.25" customHeight="1" x14ac:dyDescent="0.3">
      <c r="H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 spans="8:26" ht="14.25" customHeight="1" x14ac:dyDescent="0.3">
      <c r="H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 spans="8:26" ht="14.25" customHeight="1" x14ac:dyDescent="0.3">
      <c r="H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 spans="8:26" ht="14.25" customHeight="1" x14ac:dyDescent="0.3">
      <c r="H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 spans="8:26" ht="14.25" customHeight="1" x14ac:dyDescent="0.3">
      <c r="H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 spans="8:26" ht="14.25" customHeight="1" x14ac:dyDescent="0.3">
      <c r="H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 spans="8:26" ht="14.25" customHeight="1" x14ac:dyDescent="0.3">
      <c r="H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 spans="8:26" ht="14.25" customHeight="1" x14ac:dyDescent="0.3">
      <c r="H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 spans="8:26" ht="14.25" customHeight="1" x14ac:dyDescent="0.3">
      <c r="H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 spans="8:26" ht="14.25" customHeight="1" x14ac:dyDescent="0.3">
      <c r="H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 spans="8:26" ht="14.25" customHeight="1" x14ac:dyDescent="0.3">
      <c r="H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 spans="8:26" ht="14.25" customHeight="1" x14ac:dyDescent="0.3">
      <c r="H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 spans="8:26" ht="14.25" customHeight="1" x14ac:dyDescent="0.3">
      <c r="H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 spans="8:26" ht="14.25" customHeight="1" x14ac:dyDescent="0.3">
      <c r="H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 spans="8:26" ht="14.25" customHeight="1" x14ac:dyDescent="0.3">
      <c r="H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 spans="8:26" ht="14.25" customHeight="1" x14ac:dyDescent="0.3">
      <c r="H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 spans="8:26" ht="14.25" customHeight="1" x14ac:dyDescent="0.3">
      <c r="H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 spans="8:26" ht="14.25" customHeight="1" x14ac:dyDescent="0.3">
      <c r="H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 spans="8:26" ht="14.25" customHeight="1" x14ac:dyDescent="0.3">
      <c r="H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 spans="8:26" ht="14.25" customHeight="1" x14ac:dyDescent="0.3">
      <c r="H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 spans="8:26" ht="14.25" customHeight="1" x14ac:dyDescent="0.3">
      <c r="H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 spans="8:26" ht="14.25" customHeight="1" x14ac:dyDescent="0.3">
      <c r="H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 spans="8:26" ht="14.25" customHeight="1" x14ac:dyDescent="0.3">
      <c r="H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 spans="8:26" ht="14.25" customHeight="1" x14ac:dyDescent="0.3">
      <c r="H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 spans="8:26" ht="14.25" customHeight="1" x14ac:dyDescent="0.3">
      <c r="H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 spans="8:26" ht="14.25" customHeight="1" x14ac:dyDescent="0.3">
      <c r="H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 spans="8:26" ht="14.25" customHeight="1" x14ac:dyDescent="0.3">
      <c r="H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 spans="8:26" ht="14.25" customHeight="1" x14ac:dyDescent="0.3">
      <c r="H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 spans="8:26" ht="14.25" customHeight="1" x14ac:dyDescent="0.3">
      <c r="H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 spans="8:26" ht="14.25" customHeight="1" x14ac:dyDescent="0.3">
      <c r="H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 spans="8:26" ht="14.25" customHeight="1" x14ac:dyDescent="0.3">
      <c r="H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 spans="8:26" ht="14.25" customHeight="1" x14ac:dyDescent="0.3">
      <c r="H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 spans="8:26" ht="14.25" customHeight="1" x14ac:dyDescent="0.3">
      <c r="H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 spans="8:26" ht="14.25" customHeight="1" x14ac:dyDescent="0.3">
      <c r="H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 spans="8:26" ht="14.25" customHeight="1" x14ac:dyDescent="0.3">
      <c r="H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 spans="8:26" ht="14.25" customHeight="1" x14ac:dyDescent="0.3">
      <c r="H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 spans="8:26" ht="14.25" customHeight="1" x14ac:dyDescent="0.3">
      <c r="H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 spans="8:26" ht="14.25" customHeight="1" x14ac:dyDescent="0.3">
      <c r="H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 spans="8:26" ht="14.25" customHeight="1" x14ac:dyDescent="0.3">
      <c r="H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 spans="8:26" ht="14.25" customHeight="1" x14ac:dyDescent="0.3">
      <c r="H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 spans="8:26" ht="14.25" customHeight="1" x14ac:dyDescent="0.3">
      <c r="H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 spans="8:26" ht="14.25" customHeight="1" x14ac:dyDescent="0.3">
      <c r="H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 spans="8:26" ht="14.25" customHeight="1" x14ac:dyDescent="0.3">
      <c r="H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 spans="8:26" ht="14.25" customHeight="1" x14ac:dyDescent="0.3">
      <c r="H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 spans="8:26" ht="14.25" customHeight="1" x14ac:dyDescent="0.3">
      <c r="H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 spans="8:26" ht="14.25" customHeight="1" x14ac:dyDescent="0.3">
      <c r="H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 spans="8:26" ht="14.25" customHeight="1" x14ac:dyDescent="0.3">
      <c r="H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 spans="8:26" ht="14.25" customHeight="1" x14ac:dyDescent="0.3">
      <c r="H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 spans="8:26" ht="14.25" customHeight="1" x14ac:dyDescent="0.3">
      <c r="H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 spans="8:26" ht="14.25" customHeight="1" x14ac:dyDescent="0.3">
      <c r="H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 spans="8:26" ht="14.25" customHeight="1" x14ac:dyDescent="0.3">
      <c r="H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 spans="8:26" ht="14.25" customHeight="1" x14ac:dyDescent="0.3">
      <c r="H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 spans="8:26" ht="14.25" customHeight="1" x14ac:dyDescent="0.3">
      <c r="H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 spans="8:26" ht="14.25" customHeight="1" x14ac:dyDescent="0.3">
      <c r="H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 spans="8:26" ht="14.25" customHeight="1" x14ac:dyDescent="0.3">
      <c r="H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 spans="8:26" ht="14.25" customHeight="1" x14ac:dyDescent="0.3">
      <c r="H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 spans="8:26" ht="14.25" customHeight="1" x14ac:dyDescent="0.3">
      <c r="H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 spans="8:26" ht="14.25" customHeight="1" x14ac:dyDescent="0.3">
      <c r="H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 spans="8:26" ht="14.25" customHeight="1" x14ac:dyDescent="0.3">
      <c r="H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 spans="8:26" ht="14.25" customHeight="1" x14ac:dyDescent="0.3">
      <c r="H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 spans="8:26" ht="14.25" customHeight="1" x14ac:dyDescent="0.3">
      <c r="H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 spans="8:26" ht="14.25" customHeight="1" x14ac:dyDescent="0.3">
      <c r="H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 spans="8:26" ht="14.25" customHeight="1" x14ac:dyDescent="0.3">
      <c r="H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 spans="8:26" ht="14.25" customHeight="1" x14ac:dyDescent="0.3">
      <c r="H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 spans="8:26" ht="14.25" customHeight="1" x14ac:dyDescent="0.3">
      <c r="H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 spans="8:26" ht="14.25" customHeight="1" x14ac:dyDescent="0.3">
      <c r="H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 spans="8:26" ht="14.25" customHeight="1" x14ac:dyDescent="0.3">
      <c r="H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 spans="8:26" ht="14.25" customHeight="1" x14ac:dyDescent="0.3">
      <c r="H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 spans="8:26" ht="14.25" customHeight="1" x14ac:dyDescent="0.3">
      <c r="H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 spans="8:26" ht="14.25" customHeight="1" x14ac:dyDescent="0.3">
      <c r="H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 spans="8:26" ht="14.25" customHeight="1" x14ac:dyDescent="0.3">
      <c r="H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 spans="8:26" ht="14.25" customHeight="1" x14ac:dyDescent="0.3">
      <c r="H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 spans="8:26" ht="14.25" customHeight="1" x14ac:dyDescent="0.3">
      <c r="H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 spans="8:26" ht="14.25" customHeight="1" x14ac:dyDescent="0.3">
      <c r="H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 spans="8:26" ht="14.25" customHeight="1" x14ac:dyDescent="0.3">
      <c r="H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 spans="8:26" ht="14.25" customHeight="1" x14ac:dyDescent="0.3">
      <c r="H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 spans="8:26" ht="14.25" customHeight="1" x14ac:dyDescent="0.3">
      <c r="H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 spans="8:26" ht="14.25" customHeight="1" x14ac:dyDescent="0.3">
      <c r="H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 spans="8:26" ht="14.25" customHeight="1" x14ac:dyDescent="0.3">
      <c r="H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 spans="8:26" ht="14.25" customHeight="1" x14ac:dyDescent="0.3">
      <c r="H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 spans="8:26" ht="14.25" customHeight="1" x14ac:dyDescent="0.3">
      <c r="H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 spans="8:26" ht="14.25" customHeight="1" x14ac:dyDescent="0.3">
      <c r="H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 spans="8:26" ht="14.25" customHeight="1" x14ac:dyDescent="0.3">
      <c r="H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 spans="8:26" ht="14.25" customHeight="1" x14ac:dyDescent="0.3">
      <c r="H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 spans="8:26" ht="14.25" customHeight="1" x14ac:dyDescent="0.3">
      <c r="H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 spans="8:26" ht="14.25" customHeight="1" x14ac:dyDescent="0.3">
      <c r="H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 spans="8:26" ht="14.25" customHeight="1" x14ac:dyDescent="0.3">
      <c r="H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 spans="8:26" ht="14.25" customHeight="1" x14ac:dyDescent="0.3">
      <c r="H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 spans="8:26" ht="14.25" customHeight="1" x14ac:dyDescent="0.3">
      <c r="H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 spans="8:26" ht="14.25" customHeight="1" x14ac:dyDescent="0.3">
      <c r="H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 spans="8:26" ht="14.25" customHeight="1" x14ac:dyDescent="0.3">
      <c r="H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 spans="8:26" ht="14.25" customHeight="1" x14ac:dyDescent="0.3">
      <c r="H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 spans="8:26" ht="14.25" customHeight="1" x14ac:dyDescent="0.3">
      <c r="H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 spans="8:26" ht="14.25" customHeight="1" x14ac:dyDescent="0.3">
      <c r="H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 spans="8:26" ht="14.25" customHeight="1" x14ac:dyDescent="0.3">
      <c r="H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 spans="8:26" ht="14.25" customHeight="1" x14ac:dyDescent="0.3">
      <c r="H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 spans="8:26" ht="14.25" customHeight="1" x14ac:dyDescent="0.3">
      <c r="H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 spans="8:26" ht="14.25" customHeight="1" x14ac:dyDescent="0.3">
      <c r="H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 spans="8:26" ht="14.25" customHeight="1" x14ac:dyDescent="0.3">
      <c r="H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 spans="8:26" ht="14.25" customHeight="1" x14ac:dyDescent="0.3">
      <c r="H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 spans="8:26" ht="14.25" customHeight="1" x14ac:dyDescent="0.3">
      <c r="H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 spans="8:26" ht="14.25" customHeight="1" x14ac:dyDescent="0.3">
      <c r="H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 spans="8:26" ht="14.25" customHeight="1" x14ac:dyDescent="0.3">
      <c r="H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 spans="8:26" ht="14.25" customHeight="1" x14ac:dyDescent="0.3">
      <c r="H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 spans="8:26" ht="14.25" customHeight="1" x14ac:dyDescent="0.3">
      <c r="H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 spans="8:26" ht="14.25" customHeight="1" x14ac:dyDescent="0.3">
      <c r="H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 spans="8:26" ht="14.25" customHeight="1" x14ac:dyDescent="0.3">
      <c r="H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 spans="8:26" ht="14.25" customHeight="1" x14ac:dyDescent="0.3">
      <c r="H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 spans="8:26" ht="14.25" customHeight="1" x14ac:dyDescent="0.3">
      <c r="H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 spans="8:26" ht="14.25" customHeight="1" x14ac:dyDescent="0.3">
      <c r="H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 spans="8:26" ht="14.25" customHeight="1" x14ac:dyDescent="0.3">
      <c r="H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 spans="8:26" ht="14.25" customHeight="1" x14ac:dyDescent="0.3">
      <c r="H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 spans="8:26" ht="14.25" customHeight="1" x14ac:dyDescent="0.3">
      <c r="H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 spans="8:26" ht="14.25" customHeight="1" x14ac:dyDescent="0.3">
      <c r="H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 spans="8:26" ht="14.25" customHeight="1" x14ac:dyDescent="0.3">
      <c r="H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 spans="8:26" ht="14.25" customHeight="1" x14ac:dyDescent="0.3">
      <c r="H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 spans="8:26" ht="14.25" customHeight="1" x14ac:dyDescent="0.3">
      <c r="H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 spans="8:26" ht="14.25" customHeight="1" x14ac:dyDescent="0.3">
      <c r="H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 spans="8:26" ht="14.25" customHeight="1" x14ac:dyDescent="0.3">
      <c r="H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 spans="8:26" ht="14.25" customHeight="1" x14ac:dyDescent="0.3">
      <c r="H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 spans="8:26" ht="14.25" customHeight="1" x14ac:dyDescent="0.3">
      <c r="H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 spans="8:26" ht="14.25" customHeight="1" x14ac:dyDescent="0.3">
      <c r="H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 spans="8:26" ht="14.25" customHeight="1" x14ac:dyDescent="0.3">
      <c r="H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 spans="8:26" ht="14.25" customHeight="1" x14ac:dyDescent="0.3">
      <c r="H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 spans="8:26" ht="14.25" customHeight="1" x14ac:dyDescent="0.3">
      <c r="H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 spans="8:26" ht="14.25" customHeight="1" x14ac:dyDescent="0.3">
      <c r="H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 spans="8:26" ht="14.25" customHeight="1" x14ac:dyDescent="0.3">
      <c r="H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 spans="8:26" ht="14.25" customHeight="1" x14ac:dyDescent="0.3">
      <c r="H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 spans="8:26" ht="14.25" customHeight="1" x14ac:dyDescent="0.3">
      <c r="H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 spans="8:26" ht="14.25" customHeight="1" x14ac:dyDescent="0.3">
      <c r="H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 spans="8:26" ht="14.25" customHeight="1" x14ac:dyDescent="0.3">
      <c r="H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 spans="8:26" ht="14.25" customHeight="1" x14ac:dyDescent="0.3">
      <c r="H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 spans="8:26" ht="14.25" customHeight="1" x14ac:dyDescent="0.3">
      <c r="H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 spans="8:26" ht="14.25" customHeight="1" x14ac:dyDescent="0.3">
      <c r="H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 spans="8:26" ht="14.25" customHeight="1" x14ac:dyDescent="0.3">
      <c r="H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 spans="8:26" ht="14.25" customHeight="1" x14ac:dyDescent="0.3">
      <c r="H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 spans="8:26" ht="14.25" customHeight="1" x14ac:dyDescent="0.3">
      <c r="H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 spans="8:26" ht="14.25" customHeight="1" x14ac:dyDescent="0.3">
      <c r="H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 spans="8:26" ht="14.25" customHeight="1" x14ac:dyDescent="0.3">
      <c r="H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 spans="8:26" ht="14.25" customHeight="1" x14ac:dyDescent="0.3">
      <c r="H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</sheetData>
  <autoFilter ref="A1:AC208" xr:uid="{00000000-0001-0000-0000-000000000000}"/>
  <conditionalFormatting sqref="AB2:AB208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1:AC208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7CD69B11D4F3F4999743D2D1A60E108" ma:contentTypeVersion="16" ma:contentTypeDescription="Crear nuevo documento." ma:contentTypeScope="" ma:versionID="ce808af1a9b011da54b04d532d533ae2">
  <xsd:schema xmlns:xsd="http://www.w3.org/2001/XMLSchema" xmlns:xs="http://www.w3.org/2001/XMLSchema" xmlns:p="http://schemas.microsoft.com/office/2006/metadata/properties" xmlns:ns2="2b72bc35-a947-4ad1-a21a-45ea892ca9aa" xmlns:ns3="b4de286a-b350-4783-b921-b2b0846d4cb2" targetNamespace="http://schemas.microsoft.com/office/2006/metadata/properties" ma:root="true" ma:fieldsID="9b062c2e1a9d7c3940286bd0bb3db012" ns2:_="" ns3:_="">
    <xsd:import namespace="2b72bc35-a947-4ad1-a21a-45ea892ca9aa"/>
    <xsd:import namespace="b4de286a-b350-4783-b921-b2b0846d4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72bc35-a947-4ad1-a21a-45ea892ca9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5387042c-62bf-488b-9386-af096a83c8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4de286a-b350-4783-b921-b2b0846d4cb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1ef76f6-5f96-4dee-a900-f645a230ab64}" ma:internalName="TaxCatchAll" ma:showField="CatchAllData" ma:web="b4de286a-b350-4783-b921-b2b0846d4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b72bc35-a947-4ad1-a21a-45ea892ca9aa">
      <Terms xmlns="http://schemas.microsoft.com/office/infopath/2007/PartnerControls"/>
    </lcf76f155ced4ddcb4097134ff3c332f>
    <TaxCatchAll xmlns="b4de286a-b350-4783-b921-b2b0846d4cb2" xsi:nil="true"/>
  </documentManagement>
</p:properties>
</file>

<file path=customXml/itemProps1.xml><?xml version="1.0" encoding="utf-8"?>
<ds:datastoreItem xmlns:ds="http://schemas.openxmlformats.org/officeDocument/2006/customXml" ds:itemID="{F56983D3-53D1-4AEF-B3EF-27B5F69C5B6D}"/>
</file>

<file path=customXml/itemProps2.xml><?xml version="1.0" encoding="utf-8"?>
<ds:datastoreItem xmlns:ds="http://schemas.openxmlformats.org/officeDocument/2006/customXml" ds:itemID="{4BF47DD6-ADA0-4E60-93AB-2F9F8D14AB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B507FA2-D849-41E9-90B5-3CA146E634E9}">
  <ds:schemaRefs>
    <ds:schemaRef ds:uri="http://schemas.microsoft.com/office/2006/metadata/properties"/>
    <ds:schemaRef ds:uri="http://schemas.microsoft.com/office/infopath/2007/PartnerControls"/>
    <ds:schemaRef ds:uri="2b72bc35-a947-4ad1-a21a-45ea892ca9aa"/>
    <ds:schemaRef ds:uri="b4de286a-b350-4783-b921-b2b0846d4cb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Fondos Mutuos Perú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Nuñez</cp:lastModifiedBy>
  <dcterms:modified xsi:type="dcterms:W3CDTF">2026-08-24T21:50:53Z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0x010100B7CD69B11D4F3F4999743D2D1A60E108</vt:lpwstr>
  </property>
  <property fmtid="{D5CDD505-2E9C-101B-9397-08002B2CF9AE}" pid="3" name="MediaServiceImageTags">
    <vt:lpwstr/>
  </property>
</Properties>
</file>