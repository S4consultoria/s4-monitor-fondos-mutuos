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ndos Mutuos Perú 2026" sheetId="1" state="visible" r:id="rId3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false" name="IQ_NTM" vbProcedure="false">6000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<sst xmlns="http://schemas.openxmlformats.org/spreadsheetml/2006/main" count="1266" uniqueCount="204">
  <si>
    <t xml:space="preserve">Nombre del Fondo</t>
  </si>
  <si>
    <t xml:space="preserve">Administradora</t>
  </si>
  <si>
    <t xml:space="preserve">Moneda</t>
  </si>
  <si>
    <t xml:space="preserve">Asset Class</t>
  </si>
  <si>
    <t xml:space="preserve">Estrategia</t>
  </si>
  <si>
    <t xml:space="preserve">Sub Estrategia / Calidad</t>
  </si>
  <si>
    <t xml:space="preserve">Mercado</t>
  </si>
  <si>
    <t xml:space="preserve">Plazo</t>
  </si>
  <si>
    <t xml:space="preserve">Estructura</t>
  </si>
  <si>
    <t xml:space="preserve">Tipo de Fondo SMV</t>
  </si>
  <si>
    <t xml:space="preserve">Comisión Unificada</t>
  </si>
  <si>
    <t xml:space="preserve">Inicio Operaciones</t>
  </si>
  <si>
    <t xml:space="preserve">YTD 2026</t>
  </si>
  <si>
    <t xml:space="preserve">Patrimonio S/.</t>
  </si>
  <si>
    <t xml:space="preserve">Rent Promedio</t>
  </si>
  <si>
    <t xml:space="preserve">Nivel de Riesgo</t>
  </si>
  <si>
    <t xml:space="preserve">ANDEAN CROWN SAF S.A.C.-AC CASH PLUS S/ SERIE B</t>
  </si>
  <si>
    <t xml:space="preserve">ANDEAN CROWN SAF S.A.C.</t>
  </si>
  <si>
    <t xml:space="preserve">PEN</t>
  </si>
  <si>
    <t xml:space="preserve">Caja y Efectivo</t>
  </si>
  <si>
    <t xml:space="preserve">Liquidez</t>
  </si>
  <si>
    <t xml:space="preserve">Investment Grade</t>
  </si>
  <si>
    <t xml:space="preserve">Latam</t>
  </si>
  <si>
    <t xml:space="preserve">Corto</t>
  </si>
  <si>
    <t xml:space="preserve">Directo</t>
  </si>
  <si>
    <t xml:space="preserve">CORTO PLAZO </t>
  </si>
  <si>
    <t xml:space="preserve">ANDEAN CROWN SAF S.A.C.-Andean Crown Cash Plus $ SERIE A</t>
  </si>
  <si>
    <t xml:space="preserve">USD</t>
  </si>
  <si>
    <t xml:space="preserve">Global</t>
  </si>
  <si>
    <t xml:space="preserve">BBVA CASH SOLES BBVA SAF</t>
  </si>
  <si>
    <t xml:space="preserve">BBVA SAF</t>
  </si>
  <si>
    <t xml:space="preserve">INST. DEUDA CORTO PLAZO </t>
  </si>
  <si>
    <t xml:space="preserve">BBVA TESORERIA SOLES FMIV BBVA SAF</t>
  </si>
  <si>
    <t xml:space="preserve">BBVA CASH DOLARES BBVA SAF</t>
  </si>
  <si>
    <t xml:space="preserve">FdF BBVA DINAMICO GLOBAL S/ BBVA SAF</t>
  </si>
  <si>
    <t xml:space="preserve">Mixtos</t>
  </si>
  <si>
    <t xml:space="preserve">Mixto</t>
  </si>
  <si>
    <t xml:space="preserve">Largo</t>
  </si>
  <si>
    <t xml:space="preserve">Fondo de Fondos</t>
  </si>
  <si>
    <t xml:space="preserve">FONDO DE FONDOS</t>
  </si>
  <si>
    <t xml:space="preserve">FdF BBVA Equilibrado Global S/ BBVA SAF</t>
  </si>
  <si>
    <t xml:space="preserve">FdF BBVA Dinamico Global $ BBVA SAF</t>
  </si>
  <si>
    <t xml:space="preserve">FdF BBVA Equilibrado Global $ BBVA SAF</t>
  </si>
  <si>
    <t xml:space="preserve">BBVA RENTA MED. PLAZO S/. BBVA SAF</t>
  </si>
  <si>
    <t xml:space="preserve">Renta Fija</t>
  </si>
  <si>
    <t xml:space="preserve">Deuda Corporativa</t>
  </si>
  <si>
    <t xml:space="preserve">Mediano</t>
  </si>
  <si>
    <t xml:space="preserve">INST. DEUDA MEDIANO PLAZO </t>
  </si>
  <si>
    <t xml:space="preserve">BBVA RENTA CORTO PLAZO S/. BBVA SAF</t>
  </si>
  <si>
    <t xml:space="preserve">FdF BBVA CONSERV GLO S/ BBVA SAF</t>
  </si>
  <si>
    <t xml:space="preserve">FdF BBVA Renta Fija Mcdo Emerg BBVA SAF</t>
  </si>
  <si>
    <t xml:space="preserve">No Desarrollados</t>
  </si>
  <si>
    <t xml:space="preserve">BBVA RENTA CORTO PLAZO $ BBVA SAF</t>
  </si>
  <si>
    <t xml:space="preserve">BBVA RENTA MED. PLAZO $ BBVA SAF</t>
  </si>
  <si>
    <t xml:space="preserve">FF BBVA DIST HIGH YIELD EEUU BBVA SAF</t>
  </si>
  <si>
    <t xml:space="preserve">High Yield</t>
  </si>
  <si>
    <t xml:space="preserve">US</t>
  </si>
  <si>
    <t xml:space="preserve">FdF BBVA CONSERV GLO $ BBVA SAF</t>
  </si>
  <si>
    <t xml:space="preserve">FdeF BBVA Generacion de Flujo BBVA SAF</t>
  </si>
  <si>
    <t xml:space="preserve">FF BBVA ACC GLOB MILLENNIALS BBVA SAF</t>
  </si>
  <si>
    <t xml:space="preserve">Renta Variable</t>
  </si>
  <si>
    <t xml:space="preserve">Crecimiento (Agresivo)</t>
  </si>
  <si>
    <t xml:space="preserve">Blend</t>
  </si>
  <si>
    <t xml:space="preserve">FdF BBVA Acciones Glob Tecnol BBVA SAF</t>
  </si>
  <si>
    <t xml:space="preserve">Tech</t>
  </si>
  <si>
    <t xml:space="preserve">FF BBVA ACCIONES GLOB RE BBVA SAF</t>
  </si>
  <si>
    <t xml:space="preserve">FdF BBVA ACC MARCAS GLOB BBVA SAF</t>
  </si>
  <si>
    <t xml:space="preserve">BDC DEUDA DIVERSIFICADA FMIV BD CAPITAL SAF</t>
  </si>
  <si>
    <t xml:space="preserve">BD CAPITAL SAF</t>
  </si>
  <si>
    <t xml:space="preserve">Alternativos</t>
  </si>
  <si>
    <t xml:space="preserve">Crédito Privado</t>
  </si>
  <si>
    <t xml:space="preserve">Private Credit</t>
  </si>
  <si>
    <t xml:space="preserve">FLEXIBLE </t>
  </si>
  <si>
    <t xml:space="preserve">BLUM SAF-Blum Capital Global FM SERIE B</t>
  </si>
  <si>
    <t xml:space="preserve">BLUM SAF</t>
  </si>
  <si>
    <t xml:space="preserve">BLUM SAF-BLUM USA 500 FDF SERIE A</t>
  </si>
  <si>
    <t xml:space="preserve">BLUM SAF-Blum Renta Global FM SERIE B</t>
  </si>
  <si>
    <t xml:space="preserve">FLEXIBLE</t>
  </si>
  <si>
    <t xml:space="preserve">BLUM MONEY MARKET $ FM BLUM SAF</t>
  </si>
  <si>
    <t xml:space="preserve">BLUM SAF-BLUM DYNAMIC MACRO STRAT SERIE A</t>
  </si>
  <si>
    <t xml:space="preserve">Otras Estrategias</t>
  </si>
  <si>
    <t xml:space="preserve">Hedge Fund</t>
  </si>
  <si>
    <t xml:space="preserve">BTG PACTUAL PERU SAF-FdF BTG RENTA INTER I SERIE A</t>
  </si>
  <si>
    <t xml:space="preserve">BTG PACTUAL PERU SAF</t>
  </si>
  <si>
    <t xml:space="preserve">CORIL CASH CONSERVADOR S/ CORIL SAF</t>
  </si>
  <si>
    <t xml:space="preserve">CORIL SAF</t>
  </si>
  <si>
    <t xml:space="preserve">CREDICORP CAPITAL ACCIONES CREDICORP SAF</t>
  </si>
  <si>
    <t xml:space="preserve">CREDICORP SAF</t>
  </si>
  <si>
    <t xml:space="preserve">RENTA VARIABLE</t>
  </si>
  <si>
    <t xml:space="preserve">FdeF CC Acciones Innovacion CREDICORP SAF</t>
  </si>
  <si>
    <t xml:space="preserve">CREDI. ACC. LATAM-PACIFICO CREDICORP SAF</t>
  </si>
  <si>
    <t xml:space="preserve">CREDICORP ACCIONES GLOBAL CREDICORP SAF</t>
  </si>
  <si>
    <t xml:space="preserve">CREDICORP ACCIONES EEUU CREDICORP SAF</t>
  </si>
  <si>
    <t xml:space="preserve">CREDICORP ACCIONES ASIA CREDICORP SAF</t>
  </si>
  <si>
    <t xml:space="preserve">FdF Cred. Tendencias Globales CREDICORP SAF</t>
  </si>
  <si>
    <t xml:space="preserve">Desarrollados</t>
  </si>
  <si>
    <t xml:space="preserve">CREDICORP ACCIONES EUROPA CREDICORP SAF</t>
  </si>
  <si>
    <t xml:space="preserve">FdeF CRED ACC SECTOR SEGURID CREDICORP SAF</t>
  </si>
  <si>
    <t xml:space="preserve">FdF CC Acciones China CREDICORP SAF</t>
  </si>
  <si>
    <t xml:space="preserve">CC DEUDA CORPORATIVA SOLES CREDICORP SAF</t>
  </si>
  <si>
    <t xml:space="preserve">CREDICORP SAF-CC CONSERV. MED. PLAZO S/. SERIE A</t>
  </si>
  <si>
    <t xml:space="preserve">CREDICORP SAF-CRED. CONSER. CORTO PLAZO S/ SERIE A</t>
  </si>
  <si>
    <t xml:space="preserve">FF CC RENTA GLOBAL INV GRADE CREDICORP SAF</t>
  </si>
  <si>
    <t xml:space="preserve">Fondo de F. Cred. Cons. Global CREDICORP SAF</t>
  </si>
  <si>
    <t xml:space="preserve">CREDICORP SAF-CRED. CONSER. CORTO PLAZO $ SERIE A</t>
  </si>
  <si>
    <t xml:space="preserve">FdF CC Duración Objetivo Latam CREDICORP SAF</t>
  </si>
  <si>
    <t xml:space="preserve">CRED DEUDA CORP LATAM HY CREDICORP SAF</t>
  </si>
  <si>
    <t xml:space="preserve"> INST DEUDA DURACIÓN FLEXIBL </t>
  </si>
  <si>
    <t xml:space="preserve">CREDICORP DEUDA FLOTANTE CREDICORP SAF</t>
  </si>
  <si>
    <t xml:space="preserve">FONDO D FONDOS DEUDA LATAM CREDICORP SAF</t>
  </si>
  <si>
    <t xml:space="preserve">CREDICORP SAF-CREDICORP CONSER. MED. PLA. $ SERIE A</t>
  </si>
  <si>
    <t xml:space="preserve">FdeF Cred Renta Estrategica CREDICORP SAF</t>
  </si>
  <si>
    <t xml:space="preserve">CREDICORP DEUDA HIGH YIELD CREDICORP SAF</t>
  </si>
  <si>
    <t xml:space="preserve">Credicorp Activos Preferentes CREDICORP SAF</t>
  </si>
  <si>
    <t xml:space="preserve">CRED CAP. INVESTMENT GRADE CREDICORP SAF</t>
  </si>
  <si>
    <t xml:space="preserve">FdF Credicorp Deuda Flexible CREDICORP SAF</t>
  </si>
  <si>
    <t xml:space="preserve">CRED. DEUDA GLOBAL CREDICORP SAF</t>
  </si>
  <si>
    <t xml:space="preserve">CRED. CRECIMIENTO VCS CREDICORP SAF</t>
  </si>
  <si>
    <t xml:space="preserve">RENTA MIXTA CRECIMIENTO </t>
  </si>
  <si>
    <t xml:space="preserve">CRED. EQUILIBRADO CREDICORP SAF</t>
  </si>
  <si>
    <t xml:space="preserve"> RENTA MIXTA BALANCEADO </t>
  </si>
  <si>
    <t xml:space="preserve">CRED. MODERADO VCS CREDICORP SAF</t>
  </si>
  <si>
    <t xml:space="preserve">RENTA MIXTA MODERADO </t>
  </si>
  <si>
    <t xml:space="preserve">CRED. MODERADO CREDICORP SAF</t>
  </si>
  <si>
    <t xml:space="preserve">CRED CAP VISION III CREDICORP SAF</t>
  </si>
  <si>
    <t xml:space="preserve">FDF CRED CAP VISION II CREDICORP SAF</t>
  </si>
  <si>
    <t xml:space="preserve">FdF Credicorp Impacto Sostenib CREDICORP SAF</t>
  </si>
  <si>
    <t xml:space="preserve">CRED CAP VISION I CREDICORP SAF</t>
  </si>
  <si>
    <t xml:space="preserve">CRED. EQUILIBRADO VCS CREDICORP SAF</t>
  </si>
  <si>
    <t xml:space="preserve">CREDICORP SAF-CRED. CONSERVAD. LIQUIDEZ S/ SERIE A</t>
  </si>
  <si>
    <t xml:space="preserve">CREDICORP SAF-CRED. CONSERVADOR LIQUIDEZ $ SERIE A</t>
  </si>
  <si>
    <t xml:space="preserve">CRED CAP FACTORING S/ CREDICORP SAF</t>
  </si>
  <si>
    <t xml:space="preserve">Factoring</t>
  </si>
  <si>
    <t xml:space="preserve">CC FACTORING $ CREDICORP SAF</t>
  </si>
  <si>
    <t xml:space="preserve">VAN ECK EL DORADO PERU ETF EL DORADO SAF</t>
  </si>
  <si>
    <t xml:space="preserve">EL DORADO SAF</t>
  </si>
  <si>
    <t xml:space="preserve">FONDO BURSÁTIL - ETF</t>
  </si>
  <si>
    <t xml:space="preserve">EL DORADO SAF-FdF ED ACC GLOB OPT SERIE B</t>
  </si>
  <si>
    <t xml:space="preserve">PERU SOBERANO VAN ECK ID ETF EL DORADO SAF</t>
  </si>
  <si>
    <t xml:space="preserve">Bonos Soberanos</t>
  </si>
  <si>
    <t xml:space="preserve">EL DORADO SAF-FdF El Dorado Instr Deuda EEUU SERIE B</t>
  </si>
  <si>
    <t xml:space="preserve">FARO CAPITAL SAFI-FARO RENTA VARIABLE GLOBAL SERIE C</t>
  </si>
  <si>
    <t xml:space="preserve">FARO CAPITAL SAFI</t>
  </si>
  <si>
    <t xml:space="preserve">FdF Faro Renta Variable Global FARO CAPITAL SAFI</t>
  </si>
  <si>
    <t xml:space="preserve">FARO CAPITAL SAFI-FARO CAPITAL FLEXIBLE SERIE C</t>
  </si>
  <si>
    <t xml:space="preserve">SURA ACCIONES FONDOS SURA SAF</t>
  </si>
  <si>
    <t xml:space="preserve">FONDOS SURA SAF</t>
  </si>
  <si>
    <t xml:space="preserve">SURA ACC. NORTEAMERICANAS FONDOS SURA SAF</t>
  </si>
  <si>
    <t xml:space="preserve">SURA ACCIONES GLOBALES FONDOS SURA SAF</t>
  </si>
  <si>
    <t xml:space="preserve">FdF Sura Corto Plazo Global FONDOS SURA SAF</t>
  </si>
  <si>
    <t xml:space="preserve">SURA DEUDA PRIV. GLOBAL FONDOS SURA SAF</t>
  </si>
  <si>
    <t xml:space="preserve">Sura Real Estate Global Income FONDOS SURA SAF</t>
  </si>
  <si>
    <t xml:space="preserve">Inmuebles</t>
  </si>
  <si>
    <t xml:space="preserve">Inmuebles Global</t>
  </si>
  <si>
    <t xml:space="preserve">Flip Cobra Achorada FdF FMIV INDEPENDIENTE SAF</t>
  </si>
  <si>
    <t xml:space="preserve">INDEPENDIENTE SAF</t>
  </si>
  <si>
    <t xml:space="preserve">Flip Búho Consciente FM INDEPENDIENTE SAF</t>
  </si>
  <si>
    <t xml:space="preserve">INTERFONDO-IF LIBRE DISPONIBILIDAD S/. SERIE A</t>
  </si>
  <si>
    <t xml:space="preserve">INTERFONDO</t>
  </si>
  <si>
    <t xml:space="preserve">INST DEUDA DURACIÓN FLEXIBL </t>
  </si>
  <si>
    <t xml:space="preserve">INTERFONDO-IF LIBRE DISPONIBILIDAD SERIE A</t>
  </si>
  <si>
    <t xml:space="preserve">FdF IF Inversión EEUU FMIV INTERFONDO</t>
  </si>
  <si>
    <t xml:space="preserve">IF ACCIONES INTERFONDO</t>
  </si>
  <si>
    <t xml:space="preserve">FdeF IF Global Thematics INTERFONDO</t>
  </si>
  <si>
    <t xml:space="preserve">IF INVERSION GLOBAL INTERFONDO</t>
  </si>
  <si>
    <t xml:space="preserve">FDF IF ENFOQ MERC FRONT FMIV INTERFONDO</t>
  </si>
  <si>
    <t xml:space="preserve">FdF IF Enfoque Global INTERFONDO</t>
  </si>
  <si>
    <t xml:space="preserve">IF Enfoque LATAM INTERFONDO</t>
  </si>
  <si>
    <t xml:space="preserve">IF MEDIANO PLAZO SOLES INTERFONDO</t>
  </si>
  <si>
    <t xml:space="preserve">IF MEDIANO PLAZO INTERFONDO</t>
  </si>
  <si>
    <t xml:space="preserve">IF MIXTO BALANCEADO INTERFONDO</t>
  </si>
  <si>
    <t xml:space="preserve">Mediano Plazo</t>
  </si>
  <si>
    <t xml:space="preserve">IF INVERSION FLEXIBLE INTERFONDO</t>
  </si>
  <si>
    <t xml:space="preserve">INTERFONDO-IF OPORTUNIDAD SOLES SERIE A</t>
  </si>
  <si>
    <t xml:space="preserve">IF Portafolio Dinámico INTERFONDO</t>
  </si>
  <si>
    <t xml:space="preserve">IF Futuro Seguro S/ INTERFONDO</t>
  </si>
  <si>
    <t xml:space="preserve">INTERFONDO-IF OPORTUNIDAD SERIE B</t>
  </si>
  <si>
    <t xml:space="preserve">IF Futuro Seguro $ INTERFONDO</t>
  </si>
  <si>
    <t xml:space="preserve">FdF IF RealState Student Accom INTERFONDO</t>
  </si>
  <si>
    <t xml:space="preserve">Real Estate</t>
  </si>
  <si>
    <t xml:space="preserve">Promoinvest Fondo Selectivo PROMOINVEST SAF</t>
  </si>
  <si>
    <t xml:space="preserve">PROMOINVEST SAF</t>
  </si>
  <si>
    <t xml:space="preserve">PRUDENTIAL SAF-PRUDENTIAL RV GLOBAL SERIE A</t>
  </si>
  <si>
    <t xml:space="preserve">PRUDENTIAL SAF</t>
  </si>
  <si>
    <t xml:space="preserve">PRUDENTIAL SAF-Prudential Corto Plazo S/. SERIE A</t>
  </si>
  <si>
    <t xml:space="preserve">PRUDENTIAL SAF-Prudential Corto Plazo $ SERIE A</t>
  </si>
  <si>
    <t xml:space="preserve">SCOTIA FONDO DE F. ACC. US SCOTIA FONDOS</t>
  </si>
  <si>
    <t xml:space="preserve">SCOTIA FONDOS</t>
  </si>
  <si>
    <t xml:space="preserve">Scotia Fondo de F. Acc. Europa SCOTIA FONDOS</t>
  </si>
  <si>
    <t xml:space="preserve">SFdF Acciones Emergentes SCOTIA FONDOS</t>
  </si>
  <si>
    <t xml:space="preserve">SF Corto Plazo Plus S/ SCOTIA FONDOS</t>
  </si>
  <si>
    <t xml:space="preserve">SF MEDIANO PLAZO FLEX S/ SCOTIA FONDOS</t>
  </si>
  <si>
    <t xml:space="preserve">SF Corto Plazo Plus $ SCOTIA FONDOS</t>
  </si>
  <si>
    <t xml:space="preserve">SF MEDIANO PLAZO FLEX $ SCOTIA FONDOS</t>
  </si>
  <si>
    <t xml:space="preserve">SCOTIA FONDO DE F. DEUDA HY SCOTIA FONDOS</t>
  </si>
  <si>
    <t xml:space="preserve">Scotia Fondo de F. Deuda IG SCOTIA FONDOS</t>
  </si>
  <si>
    <t xml:space="preserve">SCOTIA FONDO PREMIUM $ SCOTIA FONDOS</t>
  </si>
  <si>
    <t xml:space="preserve">SCOTIA FONDO PREMIUM S/. SCOTIA FONDOS</t>
  </si>
  <si>
    <t xml:space="preserve">SF Liquidez S/. SCOTIA FONDOS</t>
  </si>
  <si>
    <t xml:space="preserve">SF LIQUIDEZ $ SCOTIA FONDOS</t>
  </si>
  <si>
    <t xml:space="preserve">SCOTIA DEPÓSITO DISPONIBLE $ SCOTIA FONDOS</t>
  </si>
  <si>
    <t xml:space="preserve">SCOTIA FONDO CASH $ SCOTIA FONDOS</t>
  </si>
  <si>
    <t xml:space="preserve">SCOTIA DEPÓSITO DISPONIBLE S/. SCOTIA FONDOS</t>
  </si>
  <si>
    <t xml:space="preserve">SCOTIA FONDO CASH S/. SCOTIA FONDOS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</si>
</sst>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mmm\-yy"/>
    <numFmt numFmtId="167" formatCode="0"/>
    <numFmt numFmtId="168" formatCode="0.00"/>
    <numFmt numFmtId="169" formatCode="d/m/yyyy"/>
    <numFmt numFmtId="170" formatCode="_-&quot;S/ &quot;* #,##0.00_-;&quot;-S/ &quot;* #,##0.00_-;_-&quot;S/ &quot;* \-??_-;_-@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  <font>
      <b val="true"/>
      <sz val="11"/>
      <color rgb="FFFFFFFF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>
        <color theme="1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0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9000"/>
    <pageSetUpPr fitToPage="false"/>
  </sheetPr>
  <dimension ref="A1:AL9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1" activeCellId="0" sqref="B1"/>
    </sheetView>
  </sheetViews>
  <sheetFormatPr defaultColWidth="12.66015625" defaultRowHeight="14.25" zeroHeight="false" outlineLevelRow="0" outlineLevelCol="0"/>
  <cols>
    <col collapsed="false" customWidth="true" hidden="false" outlineLevel="0" max="1" min="1" style="1" width="62.44"/>
    <col collapsed="false" customWidth="true" hidden="false" outlineLevel="0" max="2" min="2" style="1" width="24.11"/>
    <col collapsed="false" customWidth="true" hidden="false" outlineLevel="0" max="3" min="3" style="1" width="12"/>
    <col collapsed="false" customWidth="true" hidden="false" outlineLevel="0" max="4" min="4" style="1" width="26.33"/>
    <col collapsed="false" customWidth="true" hidden="false" outlineLevel="0" max="6" min="5" style="1" width="25.67"/>
    <col collapsed="false" customWidth="true" hidden="false" outlineLevel="0" max="7" min="7" style="1" width="20.33"/>
    <col collapsed="false" customWidth="true" hidden="false" outlineLevel="0" max="8" min="8" style="1" width="12.44"/>
    <col collapsed="false" customWidth="true" hidden="false" outlineLevel="0" max="9" min="9" style="1" width="19.33"/>
    <col collapsed="false" customWidth="true" hidden="false" outlineLevel="0" max="10" min="10" style="1" width="27.44"/>
    <col collapsed="false" customWidth="true" hidden="false" outlineLevel="0" max="11" min="11" style="1" width="18.11"/>
    <col collapsed="false" customWidth="true" hidden="false" outlineLevel="0" max="12" min="12" style="1" width="18.89"/>
    <col collapsed="false" customWidth="false" hidden="false" outlineLevel="0" max="26" min="13" style="1" width="12.66"/>
    <col collapsed="false" customWidth="true" hidden="false" outlineLevel="0" max="32" min="27" style="1" width="11.89"/>
    <col collapsed="false" customWidth="true" hidden="false" outlineLevel="0" max="33" min="33" style="1" width="18"/>
    <col collapsed="false" customWidth="true" hidden="false" outlineLevel="0" max="34" min="34" style="1" width="16"/>
    <col collapsed="false" customWidth="true" hidden="false" outlineLevel="0" max="35" min="35" style="1" width="18.33"/>
    <col collapsed="false" customWidth="true" hidden="false" outlineLevel="0" max="38" min="36" style="1" width="9"/>
    <col collapsed="false" customWidth="false" hidden="false" outlineLevel="0" max="16384" min="39" style="1" width="12.66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n">
        <v>45870</v>
      </c>
      <c r="N1" s="5" t="n">
        <f aca="false">EDATE(M1,1)</f>
        <v>45901</v>
      </c>
      <c r="O1" s="5" t="n">
        <f aca="false">EDATE(N1,1)</f>
        <v>45931</v>
      </c>
      <c r="P1" s="5" t="n">
        <f aca="false">EDATE(O1,1)</f>
        <v>45962</v>
      </c>
      <c r="Q1" s="5" t="n">
        <f aca="false">EDATE(P1,1)</f>
        <v>45992</v>
      </c>
      <c r="R1" s="5" t="n">
        <f aca="false">EDATE(Q1,1)</f>
        <v>46023</v>
      </c>
      <c r="S1" s="5" t="n">
        <f aca="false">EDATE(R1,1)</f>
        <v>46054</v>
      </c>
      <c r="T1" s="5" t="n">
        <f aca="false">EDATE(S1,1)</f>
        <v>46082</v>
      </c>
      <c r="U1" s="5" t="n">
        <f aca="false">EDATE(T1,1)</f>
        <v>46113</v>
      </c>
      <c r="V1" s="5" t="n">
        <f aca="false">EDATE(U1,1)</f>
        <v>46143</v>
      </c>
      <c r="W1" s="5" t="n">
        <f aca="false">EDATE(V1,1)</f>
        <v>46174</v>
      </c>
      <c r="X1" s="5" t="n">
        <f aca="false">EDATE(W1,1)</f>
        <v>46204</v>
      </c>
      <c r="Y1" s="5" t="n">
        <f aca="false">EDATE(X1,1)</f>
        <v>46235</v>
      </c>
      <c r="Z1" s="5" t="n">
        <v>46266</v>
      </c>
      <c r="AA1" s="6" t="s">
        <v>12</v>
      </c>
      <c r="AB1" s="7" t="n">
        <v>2025</v>
      </c>
      <c r="AC1" s="7" t="n">
        <v>2024</v>
      </c>
      <c r="AD1" s="7" t="n">
        <v>2023</v>
      </c>
      <c r="AE1" s="7" t="n">
        <v>2022</v>
      </c>
      <c r="AF1" s="7" t="n">
        <v>2021</v>
      </c>
      <c r="AG1" s="8" t="s">
        <v>13</v>
      </c>
      <c r="AH1" s="9" t="s">
        <v>14</v>
      </c>
      <c r="AI1" s="9" t="s">
        <v>15</v>
      </c>
      <c r="AJ1" s="10"/>
      <c r="AK1" s="10"/>
      <c r="AL1" s="10"/>
    </row>
    <row r="2" customFormat="false" ht="14.25" hidden="false" customHeight="true" outlineLevel="0" collapsed="false">
      <c r="A2" s="11" t="s">
        <v>16</v>
      </c>
      <c r="B2" s="12" t="s">
        <v>17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11" t="s">
        <v>25</v>
      </c>
      <c r="K2" s="13" t="n">
        <v>0.01</v>
      </c>
      <c r="L2" s="14" t="n">
        <v>45518</v>
      </c>
      <c r="M2" s="15" t="n">
        <v>10.54192979</v>
      </c>
      <c r="N2" s="15" t="n">
        <v>10.61723914</v>
      </c>
      <c r="O2" s="15" t="n">
        <v>10.66184971</v>
      </c>
      <c r="P2" s="15" t="n">
        <v>10.71224501</v>
      </c>
      <c r="Q2" s="15" t="n">
        <v>10.74762521</v>
      </c>
      <c r="R2" s="15" t="n">
        <v>10.79060378</v>
      </c>
      <c r="S2" s="15" t="n">
        <v>10.82019896</v>
      </c>
      <c r="T2" s="15" t="n">
        <v>10.86107945</v>
      </c>
      <c r="U2" s="15" t="n">
        <v>10.89258773</v>
      </c>
      <c r="V2" s="15" t="n">
        <v>10.93675958</v>
      </c>
      <c r="W2" s="15" t="n">
        <v>10.99090422</v>
      </c>
      <c r="X2" s="15" t="n">
        <v>11.01993757</v>
      </c>
      <c r="Y2" s="15" t="n">
        <v>11.06074168</v>
      </c>
      <c r="Z2" s="15" t="n">
        <v>11.09674617</v>
      </c>
      <c r="AA2" s="16" t="n">
        <f aca="false">Z2/Q2-1</f>
        <v>0.0324835443345348</v>
      </c>
      <c r="AB2" s="16" t="n">
        <v>0.0573</v>
      </c>
      <c r="AC2" s="16"/>
      <c r="AD2" s="16"/>
      <c r="AE2" s="16"/>
      <c r="AF2" s="16"/>
      <c r="AG2" s="17" t="n">
        <v>0</v>
      </c>
      <c r="AH2" s="18" t="n">
        <f aca="false">IFERROR(AVERAGE($AB2:$AF2),"")</f>
        <v>0.0573</v>
      </c>
      <c r="AI2" s="18" t="n">
        <f aca="false">IFERROR(_xlfn.STDEV.P($AB2:$AF2),"")</f>
        <v>0</v>
      </c>
    </row>
    <row r="3" customFormat="false" ht="14.25" hidden="false" customHeight="true" outlineLevel="0" collapsed="false">
      <c r="A3" s="15" t="s">
        <v>26</v>
      </c>
      <c r="B3" s="15" t="s">
        <v>17</v>
      </c>
      <c r="C3" s="15" t="s">
        <v>27</v>
      </c>
      <c r="D3" s="11" t="s">
        <v>19</v>
      </c>
      <c r="E3" s="11" t="s">
        <v>20</v>
      </c>
      <c r="F3" s="11" t="s">
        <v>21</v>
      </c>
      <c r="G3" s="11" t="s">
        <v>28</v>
      </c>
      <c r="H3" s="11" t="s">
        <v>23</v>
      </c>
      <c r="I3" s="11" t="s">
        <v>24</v>
      </c>
      <c r="J3" s="11" t="s">
        <v>25</v>
      </c>
      <c r="K3" s="13" t="n">
        <v>0.0085</v>
      </c>
      <c r="L3" s="19" t="n">
        <v>45394</v>
      </c>
      <c r="M3" s="15" t="n">
        <v>10.71592785</v>
      </c>
      <c r="N3" s="15" t="n">
        <v>10.77675614</v>
      </c>
      <c r="O3" s="15" t="n">
        <v>10.82604275</v>
      </c>
      <c r="P3" s="15" t="n">
        <v>10.8888696</v>
      </c>
      <c r="Q3" s="15" t="n">
        <v>10.93606518</v>
      </c>
      <c r="R3" s="15" t="n">
        <v>10.98004482</v>
      </c>
      <c r="S3" s="15" t="n">
        <v>11.01757829</v>
      </c>
      <c r="T3" s="15" t="n">
        <v>11.03721886</v>
      </c>
      <c r="U3" s="15" t="n">
        <v>11.07885628</v>
      </c>
      <c r="V3" s="15" t="n">
        <v>11.11146299</v>
      </c>
      <c r="W3" s="15" t="n">
        <v>11.16059661</v>
      </c>
      <c r="X3" s="15" t="n">
        <v>11.18670971</v>
      </c>
      <c r="Y3" s="15" t="n">
        <v>11.22994918</v>
      </c>
      <c r="Z3" s="15" t="n">
        <v>11.26903769</v>
      </c>
      <c r="AA3" s="16" t="n">
        <f aca="false">Z3/Q3-1</f>
        <v>0.030447195085207</v>
      </c>
      <c r="AB3" s="16" t="n">
        <v>0.0515</v>
      </c>
      <c r="AC3" s="16" t="n">
        <v>0.0337</v>
      </c>
      <c r="AD3" s="16"/>
      <c r="AE3" s="16"/>
      <c r="AF3" s="16"/>
      <c r="AG3" s="17" t="n">
        <v>0</v>
      </c>
      <c r="AH3" s="18" t="n">
        <f aca="false">IFERROR(AVERAGE($AB3:$AF3),"")</f>
        <v>0.0426</v>
      </c>
      <c r="AI3" s="18" t="n">
        <f aca="false">IFERROR(_xlfn.STDEV.P($AB3:$AF3),"")</f>
        <v>0.0089</v>
      </c>
    </row>
    <row r="4" customFormat="false" ht="14.25" hidden="false" customHeight="true" outlineLevel="0" collapsed="false">
      <c r="A4" s="11" t="s">
        <v>29</v>
      </c>
      <c r="B4" s="12" t="s">
        <v>30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1" t="s">
        <v>31</v>
      </c>
      <c r="K4" s="13" t="n">
        <v>0.0065</v>
      </c>
      <c r="L4" s="14" t="n">
        <v>39784</v>
      </c>
      <c r="M4" s="15" t="n">
        <v>168.23558263</v>
      </c>
      <c r="N4" s="15" t="n">
        <v>168.79042255</v>
      </c>
      <c r="O4" s="15" t="n">
        <v>169.34801068</v>
      </c>
      <c r="P4" s="15" t="n">
        <v>169.89725994</v>
      </c>
      <c r="Q4" s="15" t="n">
        <v>170.46159246</v>
      </c>
      <c r="R4" s="15" t="n">
        <v>171.02995019</v>
      </c>
      <c r="S4" s="15" t="n">
        <v>171.5192049</v>
      </c>
      <c r="T4" s="15" t="n">
        <v>172.04416922</v>
      </c>
      <c r="U4" s="15" t="n">
        <v>172.59621183</v>
      </c>
      <c r="V4" s="15" t="n">
        <v>173.1505848</v>
      </c>
      <c r="W4" s="15" t="n">
        <v>173.72934686</v>
      </c>
      <c r="X4" s="15" t="n">
        <v>174.31846502</v>
      </c>
      <c r="Y4" s="15" t="n">
        <v>174.92760868</v>
      </c>
      <c r="Z4" s="15" t="n">
        <v>175.50838276</v>
      </c>
      <c r="AA4" s="16" t="n">
        <f aca="false">Z4/Q4-1</f>
        <v>0.029606612417306</v>
      </c>
      <c r="AB4" s="16" t="n">
        <v>0.0413</v>
      </c>
      <c r="AC4" s="16" t="n">
        <v>0.0543</v>
      </c>
      <c r="AD4" s="16" t="n">
        <v>0.0713</v>
      </c>
      <c r="AE4" s="16" t="n">
        <v>0.038</v>
      </c>
      <c r="AF4" s="16" t="n">
        <v>0.001</v>
      </c>
      <c r="AG4" s="17" t="n">
        <v>2714460737.99</v>
      </c>
      <c r="AH4" s="18" t="n">
        <f aca="false">IFERROR(AVERAGE($AB4:$AF4),"")</f>
        <v>0.04118</v>
      </c>
      <c r="AI4" s="18" t="n">
        <f aca="false">IFERROR(_xlfn.STDEV.P($AB4:$AF4),"")</f>
        <v>0.0232547113506059</v>
      </c>
    </row>
    <row r="5" customFormat="false" ht="14.25" hidden="false" customHeight="true" outlineLevel="0" collapsed="false">
      <c r="A5" s="11" t="s">
        <v>32</v>
      </c>
      <c r="B5" s="12" t="s">
        <v>30</v>
      </c>
      <c r="C5" s="11" t="s">
        <v>18</v>
      </c>
      <c r="D5" s="11" t="s">
        <v>19</v>
      </c>
      <c r="E5" s="11" t="s">
        <v>20</v>
      </c>
      <c r="F5" s="11" t="s">
        <v>21</v>
      </c>
      <c r="G5" s="11" t="s">
        <v>22</v>
      </c>
      <c r="H5" s="11" t="s">
        <v>23</v>
      </c>
      <c r="I5" s="11" t="s">
        <v>24</v>
      </c>
      <c r="J5" s="11" t="s">
        <v>31</v>
      </c>
      <c r="K5" s="13" t="n">
        <v>0.004</v>
      </c>
      <c r="L5" s="14" t="n">
        <v>43376</v>
      </c>
      <c r="M5" s="15" t="n">
        <v>129.88868518</v>
      </c>
      <c r="N5" s="15" t="n">
        <v>130.33427861</v>
      </c>
      <c r="O5" s="15" t="n">
        <v>130.78976039</v>
      </c>
      <c r="P5" s="15" t="n">
        <v>131.23363684</v>
      </c>
      <c r="Q5" s="15" t="n">
        <v>131.6919245</v>
      </c>
      <c r="R5" s="15" t="n">
        <v>132.14481548</v>
      </c>
      <c r="S5" s="15" t="n">
        <v>132.54790411</v>
      </c>
      <c r="T5" s="15" t="n">
        <v>132.9920701</v>
      </c>
      <c r="U5" s="15" t="n">
        <v>133.42620184</v>
      </c>
      <c r="V5" s="15" t="n">
        <v>133.87847149</v>
      </c>
      <c r="W5" s="15" t="n">
        <v>134.35108005</v>
      </c>
      <c r="X5" s="15" t="n">
        <v>134.82905649</v>
      </c>
      <c r="Y5" s="15" t="n">
        <v>135.32540791</v>
      </c>
      <c r="Z5" s="15" t="n">
        <v>135.79414928</v>
      </c>
      <c r="AA5" s="16" t="n">
        <f aca="false">Z5/Q5-1</f>
        <v>0.0311501619827874</v>
      </c>
      <c r="AB5" s="16" t="n">
        <v>0.0427</v>
      </c>
      <c r="AC5" s="16" t="n">
        <v>0.0557</v>
      </c>
      <c r="AD5" s="16" t="n">
        <v>0.0708</v>
      </c>
      <c r="AE5" s="16" t="n">
        <v>0.0344</v>
      </c>
      <c r="AF5" s="16" t="n">
        <v>0.0014</v>
      </c>
      <c r="AG5" s="17" t="n">
        <v>309635566.69</v>
      </c>
      <c r="AH5" s="18" t="n">
        <f aca="false">IFERROR(AVERAGE($AB5:$AF5),"")</f>
        <v>0.041</v>
      </c>
      <c r="AI5" s="18" t="n">
        <f aca="false">IFERROR(_xlfn.STDEV.P($AB5:$AF5),"")</f>
        <v>0.0233184047481812</v>
      </c>
    </row>
    <row r="6" customFormat="false" ht="14.25" hidden="false" customHeight="true" outlineLevel="0" collapsed="false">
      <c r="A6" s="11" t="s">
        <v>33</v>
      </c>
      <c r="B6" s="12" t="s">
        <v>30</v>
      </c>
      <c r="C6" s="11" t="s">
        <v>27</v>
      </c>
      <c r="D6" s="11" t="s">
        <v>19</v>
      </c>
      <c r="E6" s="11" t="s">
        <v>20</v>
      </c>
      <c r="F6" s="11" t="s">
        <v>21</v>
      </c>
      <c r="G6" s="11" t="s">
        <v>22</v>
      </c>
      <c r="H6" s="11" t="s">
        <v>23</v>
      </c>
      <c r="I6" s="11" t="s">
        <v>24</v>
      </c>
      <c r="J6" s="11" t="s">
        <v>31</v>
      </c>
      <c r="K6" s="13" t="n">
        <v>0.0054</v>
      </c>
      <c r="L6" s="14" t="n">
        <v>39784</v>
      </c>
      <c r="M6" s="15" t="n">
        <v>125.77167224</v>
      </c>
      <c r="N6" s="15" t="n">
        <v>126.16747761</v>
      </c>
      <c r="O6" s="15" t="n">
        <v>126.56244542</v>
      </c>
      <c r="P6" s="15" t="n">
        <v>126.94233014</v>
      </c>
      <c r="Q6" s="15" t="n">
        <v>127.3384141</v>
      </c>
      <c r="R6" s="15" t="n">
        <v>127.7132156</v>
      </c>
      <c r="S6" s="15" t="n">
        <v>128.06815354</v>
      </c>
      <c r="T6" s="15" t="n">
        <v>128.43029195</v>
      </c>
      <c r="U6" s="15" t="n">
        <v>128.8044643</v>
      </c>
      <c r="V6" s="15" t="n">
        <v>129.1599959</v>
      </c>
      <c r="W6" s="15" t="n">
        <v>129.53030351</v>
      </c>
      <c r="X6" s="15" t="n">
        <v>129.91890425</v>
      </c>
      <c r="Y6" s="15" t="n">
        <v>130.30527527</v>
      </c>
      <c r="Z6" s="15" t="n">
        <v>130.66158755</v>
      </c>
      <c r="AA6" s="16" t="n">
        <f aca="false">Z6/Q6-1</f>
        <v>0.0260971794998979</v>
      </c>
      <c r="AB6" s="16" t="n">
        <v>0.0389</v>
      </c>
      <c r="AC6" s="16" t="n">
        <v>0.048</v>
      </c>
      <c r="AD6" s="16" t="n">
        <v>0.0442</v>
      </c>
      <c r="AE6" s="16" t="n">
        <v>0.0122</v>
      </c>
      <c r="AF6" s="16" t="n">
        <v>0.001</v>
      </c>
      <c r="AG6" s="17" t="n">
        <v>4480321054.24</v>
      </c>
      <c r="AH6" s="18" t="n">
        <f aca="false">IFERROR(AVERAGE($AB6:$AF6),"")</f>
        <v>0.02886</v>
      </c>
      <c r="AI6" s="18" t="n">
        <f aca="false">IFERROR(_xlfn.STDEV.P($AB6:$AF6),"")</f>
        <v>0.0187413553405297</v>
      </c>
    </row>
    <row r="7" customFormat="false" ht="14.25" hidden="false" customHeight="true" outlineLevel="0" collapsed="false">
      <c r="A7" s="11" t="s">
        <v>34</v>
      </c>
      <c r="B7" s="12" t="s">
        <v>30</v>
      </c>
      <c r="C7" s="11" t="s">
        <v>18</v>
      </c>
      <c r="D7" s="11" t="s">
        <v>35</v>
      </c>
      <c r="E7" s="11" t="s">
        <v>36</v>
      </c>
      <c r="F7" s="11" t="s">
        <v>36</v>
      </c>
      <c r="G7" s="11" t="s">
        <v>28</v>
      </c>
      <c r="H7" s="11" t="s">
        <v>37</v>
      </c>
      <c r="I7" s="11" t="s">
        <v>38</v>
      </c>
      <c r="J7" s="11" t="s">
        <v>39</v>
      </c>
      <c r="K7" s="13" t="n">
        <v>0.008</v>
      </c>
      <c r="L7" s="14" t="n">
        <v>39157</v>
      </c>
      <c r="M7" s="15" t="n">
        <v>128.10720518</v>
      </c>
      <c r="N7" s="15" t="n">
        <v>130.87361591</v>
      </c>
      <c r="O7" s="15" t="n">
        <v>132.59035279</v>
      </c>
      <c r="P7" s="15" t="n">
        <v>133.27403706</v>
      </c>
      <c r="Q7" s="15" t="n">
        <v>134.25931532</v>
      </c>
      <c r="R7" s="15" t="n">
        <v>135.47440907</v>
      </c>
      <c r="S7" s="15" t="n">
        <v>136.63407153</v>
      </c>
      <c r="T7" s="15" t="n">
        <v>129.88713683</v>
      </c>
      <c r="U7" s="15" t="n">
        <v>137.58376407</v>
      </c>
      <c r="V7" s="15" t="n">
        <v>141.61783996</v>
      </c>
      <c r="W7" s="15" t="n">
        <v>141.31437661</v>
      </c>
      <c r="X7" s="15" t="n">
        <v>140.20363012</v>
      </c>
      <c r="Y7" s="15" t="n">
        <v>143.68544519</v>
      </c>
      <c r="Z7" s="15" t="n">
        <v>141.0298501</v>
      </c>
      <c r="AA7" s="16" t="n">
        <f aca="false">Z7/Q7-1</f>
        <v>0.0504287897183355</v>
      </c>
      <c r="AB7" s="16" t="n">
        <v>0.1239</v>
      </c>
      <c r="AC7" s="16" t="n">
        <v>0.0703</v>
      </c>
      <c r="AD7" s="16" t="n">
        <v>0.1077</v>
      </c>
      <c r="AE7" s="16" t="n">
        <v>-0.0968</v>
      </c>
      <c r="AF7" s="16" t="n">
        <v>0.1156</v>
      </c>
      <c r="AG7" s="17" t="n">
        <v>33750906.96</v>
      </c>
      <c r="AH7" s="18" t="n">
        <f aca="false">IFERROR(AVERAGE($AB7:$AF7),"")</f>
        <v>0.06414</v>
      </c>
      <c r="AI7" s="18" t="n">
        <f aca="false">IFERROR(_xlfn.STDEV.P($AB7:$AF7),"")</f>
        <v>0.0825305906921791</v>
      </c>
    </row>
    <row r="8" customFormat="false" ht="14.25" hidden="false" customHeight="true" outlineLevel="0" collapsed="false">
      <c r="A8" s="11" t="s">
        <v>40</v>
      </c>
      <c r="B8" s="12" t="s">
        <v>30</v>
      </c>
      <c r="C8" s="11" t="s">
        <v>18</v>
      </c>
      <c r="D8" s="11" t="s">
        <v>35</v>
      </c>
      <c r="E8" s="11" t="s">
        <v>36</v>
      </c>
      <c r="F8" s="11" t="s">
        <v>21</v>
      </c>
      <c r="G8" s="11" t="s">
        <v>28</v>
      </c>
      <c r="H8" s="11" t="s">
        <v>37</v>
      </c>
      <c r="I8" s="11" t="s">
        <v>38</v>
      </c>
      <c r="J8" s="11" t="s">
        <v>39</v>
      </c>
      <c r="K8" s="13" t="n">
        <v>0.007</v>
      </c>
      <c r="L8" s="14" t="n">
        <v>39160</v>
      </c>
      <c r="M8" s="15" t="n">
        <v>147.90698349</v>
      </c>
      <c r="N8" s="15" t="n">
        <v>150.20440224</v>
      </c>
      <c r="O8" s="15" t="n">
        <v>151.35873586</v>
      </c>
      <c r="P8" s="15" t="n">
        <v>152.14849737</v>
      </c>
      <c r="Q8" s="15" t="n">
        <v>152.93807315</v>
      </c>
      <c r="R8" s="15" t="n">
        <v>153.89545921</v>
      </c>
      <c r="S8" s="15" t="n">
        <v>155.07756102</v>
      </c>
      <c r="T8" s="15" t="n">
        <v>150.40473807</v>
      </c>
      <c r="U8" s="15" t="n">
        <v>155.49917499</v>
      </c>
      <c r="V8" s="15" t="n">
        <v>158.1416895</v>
      </c>
      <c r="W8" s="15" t="n">
        <v>158.34939528</v>
      </c>
      <c r="X8" s="15" t="n">
        <v>157.18046374</v>
      </c>
      <c r="Y8" s="15" t="n">
        <v>159.65107414</v>
      </c>
      <c r="Z8" s="15" t="n">
        <v>157.07145729</v>
      </c>
      <c r="AA8" s="16" t="n">
        <f aca="false">Z8/Q8-1</f>
        <v>0.0270265216166679</v>
      </c>
      <c r="AB8" s="16" t="n">
        <v>0.0886</v>
      </c>
      <c r="AC8" s="16" t="n">
        <v>0.0505</v>
      </c>
      <c r="AD8" s="16" t="n">
        <v>0.0875</v>
      </c>
      <c r="AE8" s="16" t="n">
        <v>-0.0717</v>
      </c>
      <c r="AF8" s="16" t="n">
        <v>0.045</v>
      </c>
      <c r="AG8" s="17" t="n">
        <v>25071994.34</v>
      </c>
      <c r="AH8" s="18" t="n">
        <f aca="false">IFERROR(AVERAGE($AB8:$AF8),"")</f>
        <v>0.03998</v>
      </c>
      <c r="AI8" s="18" t="n">
        <f aca="false">IFERROR(_xlfn.STDEV.P($AB8:$AF8),"")</f>
        <v>0.0587032333010712</v>
      </c>
    </row>
    <row r="9" customFormat="false" ht="14.25" hidden="false" customHeight="true" outlineLevel="0" collapsed="false">
      <c r="A9" s="11" t="s">
        <v>41</v>
      </c>
      <c r="B9" s="12" t="s">
        <v>30</v>
      </c>
      <c r="C9" s="11" t="s">
        <v>27</v>
      </c>
      <c r="D9" s="11" t="s">
        <v>35</v>
      </c>
      <c r="E9" s="11" t="s">
        <v>36</v>
      </c>
      <c r="F9" s="11" t="s">
        <v>36</v>
      </c>
      <c r="G9" s="11" t="s">
        <v>28</v>
      </c>
      <c r="H9" s="11" t="s">
        <v>37</v>
      </c>
      <c r="I9" s="11" t="s">
        <v>38</v>
      </c>
      <c r="J9" s="11" t="s">
        <v>39</v>
      </c>
      <c r="K9" s="13" t="n">
        <v>0.008</v>
      </c>
      <c r="L9" s="14" t="n">
        <v>40822</v>
      </c>
      <c r="M9" s="15" t="n">
        <v>69.15479164</v>
      </c>
      <c r="N9" s="15" t="n">
        <v>70.63707036</v>
      </c>
      <c r="O9" s="15" t="n">
        <v>71.54425346</v>
      </c>
      <c r="P9" s="15" t="n">
        <v>71.87906584</v>
      </c>
      <c r="Q9" s="15" t="n">
        <v>72.36003842</v>
      </c>
      <c r="R9" s="15" t="n">
        <v>72.83650799</v>
      </c>
      <c r="S9" s="15" t="n">
        <v>73.40743533</v>
      </c>
      <c r="T9" s="15" t="n">
        <v>69.81372535</v>
      </c>
      <c r="U9" s="15" t="n">
        <v>73.74879556</v>
      </c>
      <c r="V9" s="15" t="n">
        <v>75.80059537</v>
      </c>
      <c r="W9" s="15" t="n">
        <v>75.5481368</v>
      </c>
      <c r="X9" s="15" t="n">
        <v>74.85509087</v>
      </c>
      <c r="Y9" s="15" t="n">
        <v>76.63371942</v>
      </c>
      <c r="Z9" s="15" t="n">
        <v>75.11853676</v>
      </c>
      <c r="AA9" s="16" t="n">
        <f aca="false">Z9/Q9-1</f>
        <v>0.0381218473653764</v>
      </c>
      <c r="AB9" s="16" t="n">
        <v>0.1196</v>
      </c>
      <c r="AC9" s="16" t="n">
        <v>0.0704</v>
      </c>
      <c r="AD9" s="16" t="n">
        <v>0.0888</v>
      </c>
      <c r="AE9" s="16" t="n">
        <v>-0.1119</v>
      </c>
      <c r="AF9" s="16" t="n">
        <v>0.0125</v>
      </c>
      <c r="AG9" s="17" t="n">
        <v>5553933.82</v>
      </c>
      <c r="AH9" s="18" t="n">
        <f aca="false">IFERROR(AVERAGE($AB9:$AF9),"")</f>
        <v>0.03588</v>
      </c>
      <c r="AI9" s="18" t="n">
        <f aca="false">IFERROR(_xlfn.STDEV.P($AB9:$AF9),"")</f>
        <v>0.0817150512451653</v>
      </c>
    </row>
    <row r="10" customFormat="false" ht="14.25" hidden="false" customHeight="true" outlineLevel="0" collapsed="false">
      <c r="A10" s="11" t="s">
        <v>42</v>
      </c>
      <c r="B10" s="12" t="s">
        <v>30</v>
      </c>
      <c r="C10" s="11" t="s">
        <v>27</v>
      </c>
      <c r="D10" s="11" t="s">
        <v>35</v>
      </c>
      <c r="E10" s="11" t="s">
        <v>36</v>
      </c>
      <c r="F10" s="11" t="s">
        <v>21</v>
      </c>
      <c r="G10" s="11" t="s">
        <v>28</v>
      </c>
      <c r="H10" s="11" t="s">
        <v>37</v>
      </c>
      <c r="I10" s="11" t="s">
        <v>38</v>
      </c>
      <c r="J10" s="11" t="s">
        <v>39</v>
      </c>
      <c r="K10" s="13" t="n">
        <v>0.007</v>
      </c>
      <c r="L10" s="14" t="n">
        <v>44273</v>
      </c>
      <c r="M10" s="15" t="n">
        <v>111.25242322</v>
      </c>
      <c r="N10" s="15" t="n">
        <v>113.02271614</v>
      </c>
      <c r="O10" s="15" t="n">
        <v>113.93665684</v>
      </c>
      <c r="P10" s="15" t="n">
        <v>114.40186654</v>
      </c>
      <c r="Q10" s="15" t="n">
        <v>114.89002757</v>
      </c>
      <c r="R10" s="15" t="n">
        <v>115.38345344</v>
      </c>
      <c r="S10" s="15" t="n">
        <v>116.28249061</v>
      </c>
      <c r="T10" s="15" t="n">
        <v>112.70524808</v>
      </c>
      <c r="U10" s="15" t="n">
        <v>116.32629174</v>
      </c>
      <c r="V10" s="15" t="n">
        <v>118.15288035</v>
      </c>
      <c r="W10" s="15" t="n">
        <v>118.06020358</v>
      </c>
      <c r="X10" s="15" t="n">
        <v>116.97723144</v>
      </c>
      <c r="Y10" s="15" t="n">
        <v>118.70462829</v>
      </c>
      <c r="Z10" s="15" t="n">
        <v>116.73254525</v>
      </c>
      <c r="AA10" s="16" t="n">
        <f aca="false">Z10/Q10-1</f>
        <v>0.0160372289829716</v>
      </c>
      <c r="AB10" s="16" t="n">
        <v>0.0846</v>
      </c>
      <c r="AC10" s="16" t="n">
        <v>0.0546</v>
      </c>
      <c r="AD10" s="16" t="n">
        <v>0.0734</v>
      </c>
      <c r="AE10" s="16" t="n">
        <v>-0.0836</v>
      </c>
      <c r="AF10" s="16" t="n">
        <v>0.0193</v>
      </c>
      <c r="AG10" s="17" t="n">
        <v>4555987.01</v>
      </c>
      <c r="AH10" s="18" t="n">
        <f aca="false">IFERROR(AVERAGE($AB10:$AF10),"")</f>
        <v>0.02966</v>
      </c>
      <c r="AI10" s="18" t="n">
        <f aca="false">IFERROR(_xlfn.STDEV.P($AB10:$AF10),"")</f>
        <v>0.0608091308933124</v>
      </c>
    </row>
    <row r="11" customFormat="false" ht="14.25" hidden="false" customHeight="true" outlineLevel="0" collapsed="false">
      <c r="A11" s="11" t="s">
        <v>43</v>
      </c>
      <c r="B11" s="12" t="s">
        <v>30</v>
      </c>
      <c r="C11" s="11" t="s">
        <v>18</v>
      </c>
      <c r="D11" s="11" t="s">
        <v>44</v>
      </c>
      <c r="E11" s="11" t="s">
        <v>45</v>
      </c>
      <c r="F11" s="11" t="s">
        <v>21</v>
      </c>
      <c r="G11" s="11" t="s">
        <v>22</v>
      </c>
      <c r="H11" s="11" t="s">
        <v>46</v>
      </c>
      <c r="I11" s="11" t="s">
        <v>24</v>
      </c>
      <c r="J11" s="11" t="s">
        <v>47</v>
      </c>
      <c r="K11" s="13" t="n">
        <v>0.01</v>
      </c>
      <c r="L11" s="14" t="n">
        <v>35720</v>
      </c>
      <c r="M11" s="15" t="n">
        <v>393.76626654</v>
      </c>
      <c r="N11" s="15" t="n">
        <v>397.2543789</v>
      </c>
      <c r="O11" s="15" t="n">
        <v>398.47251691</v>
      </c>
      <c r="P11" s="15" t="n">
        <v>400.43885284</v>
      </c>
      <c r="Q11" s="15" t="n">
        <v>402.45125322</v>
      </c>
      <c r="R11" s="15" t="n">
        <v>404.5544039</v>
      </c>
      <c r="S11" s="15" t="n">
        <v>406.08190055</v>
      </c>
      <c r="T11" s="15" t="n">
        <v>401.44983323</v>
      </c>
      <c r="U11" s="15" t="n">
        <v>406.12916369</v>
      </c>
      <c r="V11" s="15" t="n">
        <v>407.70972419</v>
      </c>
      <c r="W11" s="15" t="n">
        <v>410.65932354</v>
      </c>
      <c r="X11" s="15" t="n">
        <v>411.87582774</v>
      </c>
      <c r="Y11" s="15" t="n">
        <v>413.52704188</v>
      </c>
      <c r="Z11" s="15" t="n">
        <v>409.07142088</v>
      </c>
      <c r="AA11" s="16" t="n">
        <f aca="false">Z11/Q11-1</f>
        <v>0.0164496137284509</v>
      </c>
      <c r="AB11" s="16" t="n">
        <v>0.0785</v>
      </c>
      <c r="AC11" s="16" t="n">
        <v>0.0617</v>
      </c>
      <c r="AD11" s="16" t="n">
        <v>0.1032</v>
      </c>
      <c r="AE11" s="16" t="n">
        <v>0.0056</v>
      </c>
      <c r="AF11" s="16" t="n">
        <v>-0.0486</v>
      </c>
      <c r="AG11" s="17" t="n">
        <v>472879276.06</v>
      </c>
      <c r="AH11" s="18" t="n">
        <f aca="false">IFERROR(AVERAGE($AB11:$AF11),"")</f>
        <v>0.04008</v>
      </c>
      <c r="AI11" s="18" t="n">
        <f aca="false">IFERROR(_xlfn.STDEV.P($AB11:$AF11),"")</f>
        <v>0.05473694912945</v>
      </c>
    </row>
    <row r="12" customFormat="false" ht="14.25" hidden="false" customHeight="true" outlineLevel="0" collapsed="false">
      <c r="A12" s="11" t="s">
        <v>48</v>
      </c>
      <c r="B12" s="12" t="s">
        <v>30</v>
      </c>
      <c r="C12" s="11" t="s">
        <v>18</v>
      </c>
      <c r="D12" s="11" t="s">
        <v>44</v>
      </c>
      <c r="E12" s="11" t="s">
        <v>45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31</v>
      </c>
      <c r="K12" s="13" t="n">
        <v>0.008</v>
      </c>
      <c r="L12" s="14" t="n">
        <v>38713</v>
      </c>
      <c r="M12" s="15" t="n">
        <v>205.39002556</v>
      </c>
      <c r="N12" s="15" t="n">
        <v>206.33787049</v>
      </c>
      <c r="O12" s="15" t="n">
        <v>206.89603886</v>
      </c>
      <c r="P12" s="15" t="n">
        <v>207.59373528</v>
      </c>
      <c r="Q12" s="15" t="n">
        <v>208.31806235</v>
      </c>
      <c r="R12" s="15" t="n">
        <v>209.35727355</v>
      </c>
      <c r="S12" s="15" t="n">
        <v>210.11623319</v>
      </c>
      <c r="T12" s="15" t="n">
        <v>210.09646728</v>
      </c>
      <c r="U12" s="15" t="n">
        <v>211.12221949</v>
      </c>
      <c r="V12" s="15" t="n">
        <v>211.84300413</v>
      </c>
      <c r="W12" s="15" t="n">
        <v>212.78308894</v>
      </c>
      <c r="X12" s="15" t="n">
        <v>213.58180999</v>
      </c>
      <c r="Y12" s="15" t="n">
        <v>214.56994126</v>
      </c>
      <c r="Z12" s="15" t="n">
        <v>214.47442111</v>
      </c>
      <c r="AA12" s="16" t="n">
        <f aca="false">Z12/Q12-1</f>
        <v>0.0295526882813291</v>
      </c>
      <c r="AB12" s="16" t="n">
        <v>0.0517</v>
      </c>
      <c r="AC12" s="16" t="n">
        <v>0.0561</v>
      </c>
      <c r="AD12" s="16" t="n">
        <v>0.0768</v>
      </c>
      <c r="AE12" s="16" t="n">
        <v>0.0272</v>
      </c>
      <c r="AF12" s="16" t="n">
        <v>-0.0195</v>
      </c>
      <c r="AG12" s="17" t="n">
        <v>927883838.02</v>
      </c>
      <c r="AH12" s="18" t="n">
        <f aca="false">IFERROR(AVERAGE($AB12:$AF12),"")</f>
        <v>0.03846</v>
      </c>
      <c r="AI12" s="18" t="n">
        <f aca="false">IFERROR(_xlfn.STDEV.P($AB12:$AF12),"")</f>
        <v>0.0329926416038486</v>
      </c>
    </row>
    <row r="13" customFormat="false" ht="14.25" hidden="false" customHeight="true" outlineLevel="0" collapsed="false">
      <c r="A13" s="11" t="s">
        <v>49</v>
      </c>
      <c r="B13" s="12" t="s">
        <v>30</v>
      </c>
      <c r="C13" s="11" t="s">
        <v>18</v>
      </c>
      <c r="D13" s="11" t="s">
        <v>35</v>
      </c>
      <c r="E13" s="11" t="s">
        <v>36</v>
      </c>
      <c r="F13" s="11" t="s">
        <v>21</v>
      </c>
      <c r="G13" s="11" t="s">
        <v>28</v>
      </c>
      <c r="H13" s="11" t="s">
        <v>37</v>
      </c>
      <c r="I13" s="11" t="s">
        <v>38</v>
      </c>
      <c r="J13" s="11" t="s">
        <v>39</v>
      </c>
      <c r="K13" s="13" t="n">
        <v>0.006</v>
      </c>
      <c r="L13" s="14" t="n">
        <v>35906</v>
      </c>
      <c r="M13" s="15" t="n">
        <v>269.25014171</v>
      </c>
      <c r="N13" s="15" t="n">
        <v>272.23631565</v>
      </c>
      <c r="O13" s="15" t="n">
        <v>273.65503801</v>
      </c>
      <c r="P13" s="15" t="n">
        <v>274.99008415</v>
      </c>
      <c r="Q13" s="15" t="n">
        <v>276.11458003</v>
      </c>
      <c r="R13" s="15" t="n">
        <v>277.51140167</v>
      </c>
      <c r="S13" s="15" t="n">
        <v>279.33629671</v>
      </c>
      <c r="T13" s="15" t="n">
        <v>274.6938352</v>
      </c>
      <c r="U13" s="15" t="n">
        <v>279.90248968</v>
      </c>
      <c r="V13" s="15" t="n">
        <v>282.92694447</v>
      </c>
      <c r="W13" s="15" t="n">
        <v>283.65339804</v>
      </c>
      <c r="X13" s="15" t="n">
        <v>282.49653228</v>
      </c>
      <c r="Y13" s="15" t="n">
        <v>285.42502411</v>
      </c>
      <c r="Z13" s="15" t="n">
        <v>282.39015003</v>
      </c>
      <c r="AA13" s="16" t="n">
        <f aca="false">Z13/Q13-1</f>
        <v>0.0227281369905135</v>
      </c>
      <c r="AB13" s="16" t="n">
        <v>0.0711</v>
      </c>
      <c r="AC13" s="16" t="n">
        <v>0.0417</v>
      </c>
      <c r="AD13" s="16" t="n">
        <v>0.0664</v>
      </c>
      <c r="AE13" s="16" t="n">
        <v>-0.0429</v>
      </c>
      <c r="AF13" s="16" t="n">
        <v>0.0097</v>
      </c>
      <c r="AG13" s="17" t="n">
        <v>14144669.91</v>
      </c>
      <c r="AH13" s="18" t="n">
        <f aca="false">IFERROR(AVERAGE($AB13:$AF13),"")</f>
        <v>0.0292</v>
      </c>
      <c r="AI13" s="18" t="n">
        <f aca="false">IFERROR(_xlfn.STDEV.P($AB13:$AF13),"")</f>
        <v>0.0421292297579721</v>
      </c>
    </row>
    <row r="14" customFormat="false" ht="14.25" hidden="false" customHeight="true" outlineLevel="0" collapsed="false">
      <c r="A14" s="11" t="s">
        <v>50</v>
      </c>
      <c r="B14" s="12" t="s">
        <v>30</v>
      </c>
      <c r="C14" s="11" t="s">
        <v>27</v>
      </c>
      <c r="D14" s="11" t="s">
        <v>44</v>
      </c>
      <c r="E14" s="11" t="s">
        <v>45</v>
      </c>
      <c r="F14" s="11" t="s">
        <v>21</v>
      </c>
      <c r="G14" s="11" t="s">
        <v>51</v>
      </c>
      <c r="H14" s="11" t="s">
        <v>37</v>
      </c>
      <c r="I14" s="11" t="s">
        <v>38</v>
      </c>
      <c r="J14" s="11" t="s">
        <v>39</v>
      </c>
      <c r="K14" s="13" t="n">
        <v>0.0085</v>
      </c>
      <c r="L14" s="14" t="n">
        <v>45324</v>
      </c>
      <c r="M14" s="15" t="n">
        <v>112.67340967</v>
      </c>
      <c r="N14" s="15" t="n">
        <v>113.90113373</v>
      </c>
      <c r="O14" s="15" t="n">
        <v>114.19364094</v>
      </c>
      <c r="P14" s="15" t="n">
        <v>114.25530098</v>
      </c>
      <c r="Q14" s="15" t="n">
        <v>114.9196539</v>
      </c>
      <c r="R14" s="15" t="n">
        <v>115.54837507</v>
      </c>
      <c r="S14" s="15" t="n">
        <v>116.38184772</v>
      </c>
      <c r="T14" s="15" t="n">
        <v>114.01048178</v>
      </c>
      <c r="U14" s="15" t="n">
        <v>115.93492663</v>
      </c>
      <c r="V14" s="15" t="n">
        <v>116.32070217</v>
      </c>
      <c r="W14" s="15" t="n">
        <v>116.46112456</v>
      </c>
      <c r="X14" s="15" t="n">
        <v>116.14167054</v>
      </c>
      <c r="Y14" s="15" t="n">
        <v>117.00748229</v>
      </c>
      <c r="Z14" s="15" t="n">
        <v>114.56285428</v>
      </c>
      <c r="AA14" s="16" t="n">
        <f aca="false">Z14/Q14-1</f>
        <v>-0.00310477457851099</v>
      </c>
      <c r="AB14" s="16" t="n">
        <v>0.0755</v>
      </c>
      <c r="AC14" s="16" t="n">
        <v>0.0559</v>
      </c>
      <c r="AD14" s="16"/>
      <c r="AE14" s="16"/>
      <c r="AF14" s="16"/>
      <c r="AG14" s="17" t="n">
        <v>131149436.56</v>
      </c>
      <c r="AH14" s="18" t="n">
        <f aca="false">IFERROR(AVERAGE($AB14:$AF14),"")</f>
        <v>0.0657</v>
      </c>
      <c r="AI14" s="18" t="n">
        <f aca="false">IFERROR(_xlfn.STDEV.P($AB14:$AF14),"")</f>
        <v>0.0098</v>
      </c>
    </row>
    <row r="15" customFormat="false" ht="14.25" hidden="false" customHeight="true" outlineLevel="0" collapsed="false">
      <c r="A15" s="11" t="s">
        <v>52</v>
      </c>
      <c r="B15" s="12" t="s">
        <v>30</v>
      </c>
      <c r="C15" s="11" t="s">
        <v>27</v>
      </c>
      <c r="D15" s="11" t="s">
        <v>44</v>
      </c>
      <c r="E15" s="11" t="s">
        <v>45</v>
      </c>
      <c r="F15" s="11" t="s">
        <v>21</v>
      </c>
      <c r="G15" s="11" t="s">
        <v>22</v>
      </c>
      <c r="H15" s="11" t="s">
        <v>23</v>
      </c>
      <c r="I15" s="11" t="s">
        <v>24</v>
      </c>
      <c r="J15" s="11" t="s">
        <v>31</v>
      </c>
      <c r="K15" s="13" t="n">
        <v>0.007</v>
      </c>
      <c r="L15" s="14" t="n">
        <v>36693</v>
      </c>
      <c r="M15" s="15" t="n">
        <v>186.03349825</v>
      </c>
      <c r="N15" s="15" t="n">
        <v>187.00382134</v>
      </c>
      <c r="O15" s="15" t="n">
        <v>187.50432243</v>
      </c>
      <c r="P15" s="15" t="n">
        <v>188.00348161</v>
      </c>
      <c r="Q15" s="15" t="n">
        <v>188.57462032</v>
      </c>
      <c r="R15" s="15" t="n">
        <v>189.1797496</v>
      </c>
      <c r="S15" s="15" t="n">
        <v>189.84114112</v>
      </c>
      <c r="T15" s="15" t="n">
        <v>189.6909159</v>
      </c>
      <c r="U15" s="15" t="n">
        <v>190.51535773</v>
      </c>
      <c r="V15" s="15" t="n">
        <v>190.86681016</v>
      </c>
      <c r="W15" s="15" t="n">
        <v>191.45303698</v>
      </c>
      <c r="X15" s="15" t="n">
        <v>191.9093159</v>
      </c>
      <c r="Y15" s="15" t="n">
        <v>192.68631559</v>
      </c>
      <c r="Z15" s="15" t="n">
        <v>192.44447847</v>
      </c>
      <c r="AA15" s="16" t="n">
        <f aca="false">Z15/Q15-1</f>
        <v>0.0205216276900522</v>
      </c>
      <c r="AB15" s="16" t="n">
        <v>0.0489</v>
      </c>
      <c r="AC15" s="16" t="n">
        <v>0.0522</v>
      </c>
      <c r="AD15" s="16" t="n">
        <v>0.0465</v>
      </c>
      <c r="AE15" s="16" t="n">
        <v>0.0036</v>
      </c>
      <c r="AF15" s="16" t="n">
        <v>0.0021</v>
      </c>
      <c r="AG15" s="17" t="n">
        <v>2735524322.61</v>
      </c>
      <c r="AH15" s="18" t="n">
        <f aca="false">IFERROR(AVERAGE($AB15:$AF15),"")</f>
        <v>0.03066</v>
      </c>
      <c r="AI15" s="18" t="n">
        <f aca="false">IFERROR(_xlfn.STDEV.P($AB15:$AF15),"")</f>
        <v>0.0227837310377383</v>
      </c>
    </row>
    <row r="16" customFormat="false" ht="14.25" hidden="false" customHeight="true" outlineLevel="0" collapsed="false">
      <c r="A16" s="11" t="s">
        <v>53</v>
      </c>
      <c r="B16" s="12" t="s">
        <v>30</v>
      </c>
      <c r="C16" s="11" t="s">
        <v>27</v>
      </c>
      <c r="D16" s="11" t="s">
        <v>44</v>
      </c>
      <c r="E16" s="11" t="s">
        <v>45</v>
      </c>
      <c r="F16" s="11" t="s">
        <v>21</v>
      </c>
      <c r="G16" s="11" t="s">
        <v>22</v>
      </c>
      <c r="H16" s="11" t="s">
        <v>46</v>
      </c>
      <c r="I16" s="11" t="s">
        <v>24</v>
      </c>
      <c r="J16" s="11" t="s">
        <v>47</v>
      </c>
      <c r="K16" s="13" t="n">
        <v>0.009</v>
      </c>
      <c r="L16" s="14" t="n">
        <v>35724</v>
      </c>
      <c r="M16" s="15" t="n">
        <v>217.47990072</v>
      </c>
      <c r="N16" s="15" t="n">
        <v>219.57285912</v>
      </c>
      <c r="O16" s="15" t="n">
        <v>220.23712839</v>
      </c>
      <c r="P16" s="15" t="n">
        <v>220.64745542</v>
      </c>
      <c r="Q16" s="15" t="n">
        <v>221.19715702</v>
      </c>
      <c r="R16" s="15" t="n">
        <v>221.79010538</v>
      </c>
      <c r="S16" s="15" t="n">
        <v>222.82909669</v>
      </c>
      <c r="T16" s="15" t="n">
        <v>219.92765368</v>
      </c>
      <c r="U16" s="15" t="n">
        <v>222.41898137</v>
      </c>
      <c r="V16" s="15" t="n">
        <v>222.57345713</v>
      </c>
      <c r="W16" s="15" t="n">
        <v>223.58358558</v>
      </c>
      <c r="X16" s="15" t="n">
        <v>223.37727831</v>
      </c>
      <c r="Y16" s="15" t="n">
        <v>224.47356611</v>
      </c>
      <c r="Z16" s="15" t="n">
        <v>221.35777194</v>
      </c>
      <c r="AA16" s="16" t="n">
        <f aca="false">Z16/Q16-1</f>
        <v>0.00072611656570909</v>
      </c>
      <c r="AB16" s="16" t="n">
        <v>0.0719</v>
      </c>
      <c r="AC16" s="16" t="n">
        <v>0.0486</v>
      </c>
      <c r="AD16" s="16" t="n">
        <v>0.0607</v>
      </c>
      <c r="AE16" s="16" t="n">
        <v>-0.0366</v>
      </c>
      <c r="AF16" s="16" t="n">
        <v>-0.0268</v>
      </c>
      <c r="AG16" s="17" t="n">
        <v>627582112.99</v>
      </c>
      <c r="AH16" s="18" t="n">
        <f aca="false">IFERROR(AVERAGE($AB16:$AF16),"")</f>
        <v>0.02356</v>
      </c>
      <c r="AI16" s="18" t="n">
        <f aca="false">IFERROR(_xlfn.STDEV.P($AB16:$AF16),"")</f>
        <v>0.0458224661056124</v>
      </c>
    </row>
    <row r="17" customFormat="false" ht="14.25" hidden="false" customHeight="true" outlineLevel="0" collapsed="false">
      <c r="A17" s="11" t="s">
        <v>54</v>
      </c>
      <c r="B17" s="12" t="s">
        <v>30</v>
      </c>
      <c r="C17" s="11" t="s">
        <v>27</v>
      </c>
      <c r="D17" s="11" t="s">
        <v>44</v>
      </c>
      <c r="E17" s="11" t="s">
        <v>45</v>
      </c>
      <c r="F17" s="11" t="s">
        <v>55</v>
      </c>
      <c r="G17" s="11" t="s">
        <v>56</v>
      </c>
      <c r="H17" s="11" t="s">
        <v>37</v>
      </c>
      <c r="I17" s="11" t="s">
        <v>38</v>
      </c>
      <c r="J17" s="11" t="s">
        <v>39</v>
      </c>
      <c r="K17" s="13" t="n">
        <v>0.0085</v>
      </c>
      <c r="L17" s="14" t="n">
        <v>44384</v>
      </c>
      <c r="M17" s="15" t="n">
        <v>111.55654879</v>
      </c>
      <c r="N17" s="15" t="n">
        <v>112.29238942</v>
      </c>
      <c r="O17" s="15" t="n">
        <v>112.47189473</v>
      </c>
      <c r="P17" s="15" t="n">
        <v>112.9292031</v>
      </c>
      <c r="Q17" s="15" t="n">
        <v>113.62399858</v>
      </c>
      <c r="R17" s="15" t="n">
        <v>114.12499588</v>
      </c>
      <c r="S17" s="15" t="n">
        <v>114.33069869</v>
      </c>
      <c r="T17" s="15" t="n">
        <v>112.47700847</v>
      </c>
      <c r="U17" s="15" t="n">
        <v>114.58128754</v>
      </c>
      <c r="V17" s="15" t="n">
        <v>114.96815798</v>
      </c>
      <c r="W17" s="15" t="n">
        <v>115.24376874</v>
      </c>
      <c r="X17" s="15" t="n">
        <v>114.75867976</v>
      </c>
      <c r="Y17" s="15" t="n">
        <v>115.83037504</v>
      </c>
      <c r="Z17" s="15" t="n">
        <v>112.85713577</v>
      </c>
      <c r="AA17" s="16" t="n">
        <f aca="false">Z17/Q17-1</f>
        <v>-0.00674912711736753</v>
      </c>
      <c r="AB17" s="16" t="n">
        <v>0.0731</v>
      </c>
      <c r="AC17" s="16" t="n">
        <v>0.0583</v>
      </c>
      <c r="AD17" s="16" t="n">
        <v>0.1227</v>
      </c>
      <c r="AE17" s="16" t="n">
        <v>-0.117</v>
      </c>
      <c r="AF17" s="16" t="n">
        <v>0.0074</v>
      </c>
      <c r="AG17" s="17" t="n">
        <v>65597433.47</v>
      </c>
      <c r="AH17" s="18" t="n">
        <f aca="false">IFERROR(AVERAGE($AB17:$AF17),"")</f>
        <v>0.0289</v>
      </c>
      <c r="AI17" s="18" t="n">
        <f aca="false">IFERROR(_xlfn.STDEV.P($AB17:$AF17),"")</f>
        <v>0.0816890445531101</v>
      </c>
    </row>
    <row r="18" customFormat="false" ht="14.25" hidden="false" customHeight="true" outlineLevel="0" collapsed="false">
      <c r="A18" s="11" t="s">
        <v>57</v>
      </c>
      <c r="B18" s="12" t="s">
        <v>30</v>
      </c>
      <c r="C18" s="11" t="s">
        <v>27</v>
      </c>
      <c r="D18" s="11" t="s">
        <v>35</v>
      </c>
      <c r="E18" s="11" t="s">
        <v>36</v>
      </c>
      <c r="F18" s="11" t="s">
        <v>21</v>
      </c>
      <c r="G18" s="11" t="s">
        <v>28</v>
      </c>
      <c r="H18" s="11" t="s">
        <v>37</v>
      </c>
      <c r="I18" s="11" t="s">
        <v>38</v>
      </c>
      <c r="J18" s="11" t="s">
        <v>39</v>
      </c>
      <c r="K18" s="13" t="n">
        <v>0.006</v>
      </c>
      <c r="L18" s="14" t="n">
        <v>37413</v>
      </c>
      <c r="M18" s="15" t="n">
        <v>180.38207487</v>
      </c>
      <c r="N18" s="15" t="n">
        <v>182.39814999</v>
      </c>
      <c r="O18" s="15" t="n">
        <v>183.36425992</v>
      </c>
      <c r="P18" s="15" t="n">
        <v>184.1073568</v>
      </c>
      <c r="Q18" s="15" t="n">
        <v>184.71306673</v>
      </c>
      <c r="R18" s="15" t="n">
        <v>185.30467989</v>
      </c>
      <c r="S18" s="15" t="n">
        <v>186.51532895</v>
      </c>
      <c r="T18" s="15" t="n">
        <v>183.29584424</v>
      </c>
      <c r="U18" s="15" t="n">
        <v>186.59888803</v>
      </c>
      <c r="V18" s="15" t="n">
        <v>188.23102677</v>
      </c>
      <c r="W18" s="15" t="n">
        <v>188.4886849</v>
      </c>
      <c r="X18" s="15" t="n">
        <v>187.46237504</v>
      </c>
      <c r="Y18" s="15" t="n">
        <v>189.21339739</v>
      </c>
      <c r="Z18" s="15" t="n">
        <v>187.05789618</v>
      </c>
      <c r="AA18" s="16" t="n">
        <f aca="false">Z18/Q18-1</f>
        <v>0.0126944427457723</v>
      </c>
      <c r="AB18" s="16" t="n">
        <v>0.0675</v>
      </c>
      <c r="AC18" s="16" t="n">
        <v>0.045</v>
      </c>
      <c r="AD18" s="16" t="n">
        <v>0.0514</v>
      </c>
      <c r="AE18" s="16" t="n">
        <v>-0.0589</v>
      </c>
      <c r="AF18" s="16" t="n">
        <v>0.0144</v>
      </c>
      <c r="AG18" s="17" t="n">
        <v>13928976.63</v>
      </c>
      <c r="AH18" s="18" t="n">
        <f aca="false">IFERROR(AVERAGE($AB18:$AF18),"")</f>
        <v>0.02388</v>
      </c>
      <c r="AI18" s="18" t="n">
        <f aca="false">IFERROR(_xlfn.STDEV.P($AB18:$AF18),"")</f>
        <v>0.0448296955153613</v>
      </c>
    </row>
    <row r="19" customFormat="false" ht="14.25" hidden="false" customHeight="true" outlineLevel="0" collapsed="false">
      <c r="A19" s="11" t="s">
        <v>58</v>
      </c>
      <c r="B19" s="12" t="s">
        <v>30</v>
      </c>
      <c r="C19" s="11" t="s">
        <v>27</v>
      </c>
      <c r="D19" s="11" t="s">
        <v>44</v>
      </c>
      <c r="E19" s="11" t="s">
        <v>45</v>
      </c>
      <c r="F19" s="11" t="s">
        <v>21</v>
      </c>
      <c r="G19" s="11" t="s">
        <v>28</v>
      </c>
      <c r="H19" s="11" t="s">
        <v>37</v>
      </c>
      <c r="I19" s="11" t="s">
        <v>38</v>
      </c>
      <c r="J19" s="11" t="s">
        <v>39</v>
      </c>
      <c r="K19" s="13" t="n">
        <v>0.008</v>
      </c>
      <c r="L19" s="14" t="n">
        <v>40238</v>
      </c>
      <c r="M19" s="15" t="n">
        <v>102.55878316</v>
      </c>
      <c r="N19" s="15" t="n">
        <v>103.29187019</v>
      </c>
      <c r="O19" s="15" t="n">
        <v>103.91759781</v>
      </c>
      <c r="P19" s="15" t="n">
        <v>104.06657809</v>
      </c>
      <c r="Q19" s="15" t="n">
        <v>104.11374009</v>
      </c>
      <c r="R19" s="15" t="n">
        <v>104.9514895</v>
      </c>
      <c r="S19" s="15" t="n">
        <v>105.57000148</v>
      </c>
      <c r="T19" s="15" t="n">
        <v>103.16719901</v>
      </c>
      <c r="U19" s="15" t="n">
        <v>104.3151732</v>
      </c>
      <c r="V19" s="15" t="n">
        <v>105.30454551</v>
      </c>
      <c r="W19" s="15" t="n">
        <v>106.00378085</v>
      </c>
      <c r="X19" s="15" t="n">
        <v>105.43739134</v>
      </c>
      <c r="Y19" s="15" t="n">
        <v>105.72903409</v>
      </c>
      <c r="Z19" s="15" t="n">
        <v>104.00024331</v>
      </c>
      <c r="AA19" s="16" t="n">
        <f aca="false">Z19/Q19-1</f>
        <v>-0.00109012297418076</v>
      </c>
      <c r="AB19" s="16" t="n">
        <v>0.0596</v>
      </c>
      <c r="AC19" s="16" t="n">
        <v>0.0168</v>
      </c>
      <c r="AD19" s="16" t="n">
        <v>0.0563</v>
      </c>
      <c r="AE19" s="16" t="n">
        <v>-0.143</v>
      </c>
      <c r="AF19" s="16" t="n">
        <v>0.0237</v>
      </c>
      <c r="AG19" s="17" t="n">
        <v>44108448.83</v>
      </c>
      <c r="AH19" s="18" t="n">
        <f aca="false">IFERROR(AVERAGE($AB19:$AF19),"")</f>
        <v>0.00268</v>
      </c>
      <c r="AI19" s="18" t="n">
        <f aca="false">IFERROR(_xlfn.STDEV.P($AB19:$AF19),"")</f>
        <v>0.0748049035825861</v>
      </c>
    </row>
    <row r="20" customFormat="false" ht="14.25" hidden="false" customHeight="true" outlineLevel="0" collapsed="false">
      <c r="A20" s="11" t="s">
        <v>59</v>
      </c>
      <c r="B20" s="12" t="s">
        <v>30</v>
      </c>
      <c r="C20" s="11" t="s">
        <v>27</v>
      </c>
      <c r="D20" s="11" t="s">
        <v>60</v>
      </c>
      <c r="E20" s="11" t="s">
        <v>61</v>
      </c>
      <c r="F20" s="11" t="s">
        <v>62</v>
      </c>
      <c r="G20" s="11" t="s">
        <v>28</v>
      </c>
      <c r="H20" s="11" t="s">
        <v>37</v>
      </c>
      <c r="I20" s="11" t="s">
        <v>38</v>
      </c>
      <c r="J20" s="11" t="s">
        <v>39</v>
      </c>
      <c r="K20" s="13" t="n">
        <v>0.01</v>
      </c>
      <c r="L20" s="14" t="n">
        <v>44942</v>
      </c>
      <c r="M20" s="15" t="n">
        <v>146.67409781</v>
      </c>
      <c r="N20" s="15" t="n">
        <v>150.87607987</v>
      </c>
      <c r="O20" s="15" t="n">
        <v>153.26279597</v>
      </c>
      <c r="P20" s="15" t="n">
        <v>150.69994599</v>
      </c>
      <c r="Q20" s="15" t="n">
        <v>151.59042841</v>
      </c>
      <c r="R20" s="15" t="n">
        <v>149.13966475</v>
      </c>
      <c r="S20" s="15" t="n">
        <v>145.73788224</v>
      </c>
      <c r="T20" s="15" t="n">
        <v>132.88738768</v>
      </c>
      <c r="U20" s="15" t="n">
        <v>149.90556291</v>
      </c>
      <c r="V20" s="15" t="n">
        <v>159.82509897</v>
      </c>
      <c r="W20" s="15" t="n">
        <v>154.02624397</v>
      </c>
      <c r="X20" s="15" t="n">
        <v>153.1767903</v>
      </c>
      <c r="Y20" s="15" t="n">
        <v>157.24021327</v>
      </c>
      <c r="Z20" s="15" t="n">
        <v>156.58149621</v>
      </c>
      <c r="AA20" s="16" t="n">
        <f aca="false">Z20/Q20-1</f>
        <v>0.032924689588586</v>
      </c>
      <c r="AB20" s="16" t="n">
        <v>0.1294</v>
      </c>
      <c r="AC20" s="16" t="n">
        <v>0.2335</v>
      </c>
      <c r="AD20" s="16" t="n">
        <v>0.0813</v>
      </c>
      <c r="AE20" s="16"/>
      <c r="AF20" s="16"/>
      <c r="AG20" s="17" t="n">
        <v>27683131.63</v>
      </c>
      <c r="AH20" s="18" t="n">
        <f aca="false">IFERROR(AVERAGE($AB20:$AF20),"")</f>
        <v>0.148066666666667</v>
      </c>
      <c r="AI20" s="18" t="n">
        <f aca="false">IFERROR(_xlfn.STDEV.P($AB20:$AF20),"")</f>
        <v>0.0635218772462597</v>
      </c>
    </row>
    <row r="21" customFormat="false" ht="14.25" hidden="false" customHeight="true" outlineLevel="0" collapsed="false">
      <c r="A21" s="11" t="s">
        <v>63</v>
      </c>
      <c r="B21" s="12" t="s">
        <v>30</v>
      </c>
      <c r="C21" s="11" t="s">
        <v>27</v>
      </c>
      <c r="D21" s="11" t="s">
        <v>60</v>
      </c>
      <c r="E21" s="11" t="s">
        <v>61</v>
      </c>
      <c r="F21" s="11" t="s">
        <v>64</v>
      </c>
      <c r="G21" s="11" t="s">
        <v>28</v>
      </c>
      <c r="H21" s="11" t="s">
        <v>37</v>
      </c>
      <c r="I21" s="11" t="s">
        <v>38</v>
      </c>
      <c r="J21" s="11" t="s">
        <v>39</v>
      </c>
      <c r="K21" s="13" t="n">
        <v>0.01</v>
      </c>
      <c r="L21" s="14" t="n">
        <v>41663</v>
      </c>
      <c r="M21" s="15" t="n">
        <v>161.23961036</v>
      </c>
      <c r="N21" s="15" t="n">
        <v>171.45933234</v>
      </c>
      <c r="O21" s="15" t="n">
        <v>177.49098223</v>
      </c>
      <c r="P21" s="15" t="n">
        <v>170.95267542</v>
      </c>
      <c r="Q21" s="15" t="n">
        <v>175.56433413</v>
      </c>
      <c r="R21" s="15" t="n">
        <v>179.84510108</v>
      </c>
      <c r="S21" s="15" t="n">
        <v>175.80254351</v>
      </c>
      <c r="T21" s="15" t="n">
        <v>163.95098742</v>
      </c>
      <c r="U21" s="15" t="n">
        <v>188.79762859</v>
      </c>
      <c r="V21" s="15" t="n">
        <v>206.09583046</v>
      </c>
      <c r="W21" s="15" t="n">
        <v>195.26949458</v>
      </c>
      <c r="X21" s="15" t="n">
        <v>193.5169828</v>
      </c>
      <c r="Y21" s="15" t="n">
        <v>203.92508662</v>
      </c>
      <c r="Z21" s="15" t="n">
        <v>203.93687594</v>
      </c>
      <c r="AA21" s="16" t="n">
        <f aca="false">Z21/Q21-1</f>
        <v>0.161607663370802</v>
      </c>
      <c r="AB21" s="16" t="n">
        <v>0.2611</v>
      </c>
      <c r="AC21" s="16" t="n">
        <v>0.0883</v>
      </c>
      <c r="AD21" s="16" t="n">
        <v>0.1372</v>
      </c>
      <c r="AE21" s="16" t="n">
        <v>-0.094</v>
      </c>
      <c r="AF21" s="16" t="n">
        <v>0.0973</v>
      </c>
      <c r="AG21" s="17" t="n">
        <v>96969557.04</v>
      </c>
      <c r="AH21" s="18" t="n">
        <f aca="false">IFERROR(AVERAGE($AB21:$AF21),"")</f>
        <v>0.09798</v>
      </c>
      <c r="AI21" s="18" t="n">
        <f aca="false">IFERROR(_xlfn.STDEV.P($AB21:$AF21),"")</f>
        <v>0.114102434680422</v>
      </c>
    </row>
    <row r="22" customFormat="false" ht="14.25" hidden="false" customHeight="true" outlineLevel="0" collapsed="false">
      <c r="A22" s="11" t="s">
        <v>65</v>
      </c>
      <c r="B22" s="12" t="s">
        <v>30</v>
      </c>
      <c r="C22" s="11" t="s">
        <v>27</v>
      </c>
      <c r="D22" s="11" t="s">
        <v>60</v>
      </c>
      <c r="E22" s="11" t="s">
        <v>61</v>
      </c>
      <c r="F22" s="11" t="s">
        <v>62</v>
      </c>
      <c r="G22" s="11" t="s">
        <v>28</v>
      </c>
      <c r="H22" s="11" t="s">
        <v>37</v>
      </c>
      <c r="I22" s="11" t="s">
        <v>38</v>
      </c>
      <c r="J22" s="11" t="s">
        <v>39</v>
      </c>
      <c r="K22" s="13" t="n">
        <v>0.01</v>
      </c>
      <c r="L22" s="14" t="n">
        <v>44783</v>
      </c>
      <c r="M22" s="15" t="n">
        <v>97.30951632</v>
      </c>
      <c r="N22" s="15" t="n">
        <v>96.91191978</v>
      </c>
      <c r="O22" s="15" t="n">
        <v>96.60649129</v>
      </c>
      <c r="P22" s="15" t="n">
        <v>98.25173892</v>
      </c>
      <c r="Q22" s="15" t="n">
        <v>97.49194705</v>
      </c>
      <c r="R22" s="15" t="n">
        <v>100.01329277</v>
      </c>
      <c r="S22" s="15" t="n">
        <v>106.65952131</v>
      </c>
      <c r="T22" s="15" t="n">
        <v>97.84236486</v>
      </c>
      <c r="U22" s="15" t="n">
        <v>105.53209835</v>
      </c>
      <c r="V22" s="15" t="n">
        <v>106.23764712</v>
      </c>
      <c r="W22" s="15" t="n">
        <v>104.17158927</v>
      </c>
      <c r="X22" s="15" t="n">
        <v>104.52060099</v>
      </c>
      <c r="Y22" s="15" t="n">
        <v>108.03771562</v>
      </c>
      <c r="Z22" s="15" t="n">
        <v>106.78722837</v>
      </c>
      <c r="AA22" s="16" t="n">
        <f aca="false">Z22/Q22-1</f>
        <v>0.0953440935509555</v>
      </c>
      <c r="AB22" s="16" t="n">
        <v>0.0702</v>
      </c>
      <c r="AC22" s="16" t="n">
        <v>-0.0068</v>
      </c>
      <c r="AD22" s="16" t="n">
        <v>0.0653</v>
      </c>
      <c r="AE22" s="16" t="n">
        <v>-0.1405</v>
      </c>
      <c r="AF22" s="16"/>
      <c r="AG22" s="17" t="n">
        <v>17277869.04</v>
      </c>
      <c r="AH22" s="18" t="n">
        <f aca="false">IFERROR(AVERAGE($AB22:$AF22),"")</f>
        <v>-0.00295</v>
      </c>
      <c r="AI22" s="18" t="n">
        <f aca="false">IFERROR(_xlfn.STDEV.P($AB22:$AF22),"")</f>
        <v>0.0850644020727825</v>
      </c>
    </row>
    <row r="23" customFormat="false" ht="14.25" hidden="false" customHeight="true" outlineLevel="0" collapsed="false">
      <c r="A23" s="11" t="s">
        <v>66</v>
      </c>
      <c r="B23" s="12" t="s">
        <v>30</v>
      </c>
      <c r="C23" s="11" t="s">
        <v>27</v>
      </c>
      <c r="D23" s="11" t="s">
        <v>60</v>
      </c>
      <c r="E23" s="11" t="s">
        <v>61</v>
      </c>
      <c r="F23" s="11" t="s">
        <v>62</v>
      </c>
      <c r="G23" s="11" t="s">
        <v>28</v>
      </c>
      <c r="H23" s="11" t="s">
        <v>37</v>
      </c>
      <c r="I23" s="11" t="s">
        <v>38</v>
      </c>
      <c r="J23" s="11" t="s">
        <v>39</v>
      </c>
      <c r="K23" s="13" t="n">
        <v>0.01</v>
      </c>
      <c r="L23" s="14" t="n">
        <v>40283</v>
      </c>
      <c r="M23" s="15" t="n">
        <v>125.89838807</v>
      </c>
      <c r="N23" s="15" t="n">
        <v>123.42571934</v>
      </c>
      <c r="O23" s="15" t="n">
        <v>121.11089172</v>
      </c>
      <c r="P23" s="15" t="n">
        <v>120.64073731</v>
      </c>
      <c r="Q23" s="15" t="n">
        <v>121.42604828</v>
      </c>
      <c r="R23" s="15" t="n">
        <v>120.30520683</v>
      </c>
      <c r="S23" s="15" t="n">
        <v>117.7817112</v>
      </c>
      <c r="T23" s="15" t="n">
        <v>109.60448841</v>
      </c>
      <c r="U23" s="15" t="n">
        <v>117.98592335</v>
      </c>
      <c r="V23" s="15" t="n">
        <v>121.27112513</v>
      </c>
      <c r="W23" s="15" t="n">
        <v>119.01422155</v>
      </c>
      <c r="X23" s="15" t="n">
        <v>120.9108779</v>
      </c>
      <c r="Y23" s="15" t="n">
        <v>123.83268425</v>
      </c>
      <c r="Z23" s="15" t="n">
        <v>122.30805486</v>
      </c>
      <c r="AA23" s="16" t="n">
        <f aca="false">Z23/Q23-1</f>
        <v>0.00726373453219975</v>
      </c>
      <c r="AB23" s="16" t="n">
        <v>0.0117</v>
      </c>
      <c r="AC23" s="16" t="n">
        <v>0.07</v>
      </c>
      <c r="AD23" s="16" t="n">
        <v>0.1328</v>
      </c>
      <c r="AE23" s="16" t="n">
        <v>-0.2334</v>
      </c>
      <c r="AF23" s="16" t="n">
        <v>0.0676</v>
      </c>
      <c r="AG23" s="17" t="n">
        <v>37056813.46</v>
      </c>
      <c r="AH23" s="18" t="n">
        <f aca="false">IFERROR(AVERAGE($AB23:$AF23),"")</f>
        <v>0.00974</v>
      </c>
      <c r="AI23" s="18" t="n">
        <f aca="false">IFERROR(_xlfn.STDEV.P($AB23:$AF23),"")</f>
        <v>0.127470555031348</v>
      </c>
    </row>
    <row r="24" customFormat="false" ht="14.25" hidden="false" customHeight="true" outlineLevel="0" collapsed="false">
      <c r="A24" s="11" t="s">
        <v>67</v>
      </c>
      <c r="B24" s="12" t="s">
        <v>68</v>
      </c>
      <c r="C24" s="11" t="s">
        <v>27</v>
      </c>
      <c r="D24" s="11" t="s">
        <v>69</v>
      </c>
      <c r="E24" s="11" t="s">
        <v>70</v>
      </c>
      <c r="F24" s="11" t="s">
        <v>71</v>
      </c>
      <c r="G24" s="11" t="s">
        <v>28</v>
      </c>
      <c r="H24" s="11" t="s">
        <v>46</v>
      </c>
      <c r="I24" s="11" t="s">
        <v>24</v>
      </c>
      <c r="J24" s="11" t="s">
        <v>72</v>
      </c>
      <c r="K24" s="13" t="n">
        <v>0.0088</v>
      </c>
      <c r="L24" s="14" t="n">
        <v>44271</v>
      </c>
      <c r="M24" s="15" t="n">
        <v>100.82633278</v>
      </c>
      <c r="N24" s="15" t="n">
        <v>101.46704713</v>
      </c>
      <c r="O24" s="15" t="n">
        <v>102.09266878</v>
      </c>
      <c r="P24" s="15" t="n">
        <v>102.69427798</v>
      </c>
      <c r="Q24" s="15" t="n">
        <v>103.35051173</v>
      </c>
      <c r="R24" s="15" t="n">
        <v>104.01458275</v>
      </c>
      <c r="S24" s="15" t="n">
        <v>104.59327983</v>
      </c>
      <c r="T24" s="15" t="n">
        <v>105.27351683</v>
      </c>
      <c r="U24" s="15" t="n">
        <v>105.92134542</v>
      </c>
      <c r="V24" s="15" t="n">
        <v>106.5836346</v>
      </c>
      <c r="W24" s="15" t="n">
        <v>107.25573328</v>
      </c>
      <c r="X24" s="15" t="n">
        <v>107.9400036</v>
      </c>
      <c r="Y24" s="15" t="n">
        <v>108.62485427</v>
      </c>
      <c r="Z24" s="15" t="n">
        <v>109.27467284</v>
      </c>
      <c r="AA24" s="16" t="n">
        <f aca="false">Z24/Q24-1</f>
        <v>0.0573210621876425</v>
      </c>
      <c r="AB24" s="16" t="n">
        <v>0.0787</v>
      </c>
      <c r="AC24" s="16" t="n">
        <v>0.0965</v>
      </c>
      <c r="AD24" s="16" t="n">
        <v>-0.0185</v>
      </c>
      <c r="AE24" s="16" t="n">
        <v>-0.1471</v>
      </c>
      <c r="AF24" s="16" t="n">
        <v>0.0437</v>
      </c>
      <c r="AG24" s="17" t="n">
        <v>16280001.28</v>
      </c>
      <c r="AH24" s="18" t="n">
        <f aca="false">IFERROR(AVERAGE($AB24:$AF24),"")</f>
        <v>0.01066</v>
      </c>
      <c r="AI24" s="18" t="n">
        <f aca="false">IFERROR(_xlfn.STDEV.P($AB24:$AF24),"")</f>
        <v>0.0881227689079275</v>
      </c>
    </row>
    <row r="25" customFormat="false" ht="14.25" hidden="false" customHeight="true" outlineLevel="0" collapsed="false">
      <c r="A25" s="11" t="s">
        <v>73</v>
      </c>
      <c r="B25" s="12" t="s">
        <v>74</v>
      </c>
      <c r="C25" s="11" t="s">
        <v>27</v>
      </c>
      <c r="D25" s="11" t="s">
        <v>60</v>
      </c>
      <c r="E25" s="11" t="s">
        <v>61</v>
      </c>
      <c r="F25" s="11" t="s">
        <v>62</v>
      </c>
      <c r="G25" s="11" t="s">
        <v>28</v>
      </c>
      <c r="H25" s="11" t="s">
        <v>37</v>
      </c>
      <c r="I25" s="11" t="s">
        <v>24</v>
      </c>
      <c r="J25" s="11" t="s">
        <v>39</v>
      </c>
      <c r="K25" s="13" t="n">
        <v>0.014</v>
      </c>
      <c r="L25" s="14" t="n">
        <v>44827</v>
      </c>
      <c r="M25" s="15" t="n">
        <v>14.54893201</v>
      </c>
      <c r="N25" s="15" t="n">
        <v>14.89181525</v>
      </c>
      <c r="O25" s="15" t="n">
        <v>15.15268061</v>
      </c>
      <c r="P25" s="15" t="n">
        <v>15.15996582</v>
      </c>
      <c r="Q25" s="15" t="n">
        <v>15.44747575</v>
      </c>
      <c r="R25" s="15" t="n">
        <v>15.66606146</v>
      </c>
      <c r="S25" s="15" t="n">
        <v>15.85148537</v>
      </c>
      <c r="T25" s="15" t="n">
        <v>14.51942763</v>
      </c>
      <c r="U25" s="15" t="n">
        <v>15.81764656</v>
      </c>
      <c r="V25" s="15" t="n">
        <v>16.54270935</v>
      </c>
      <c r="W25" s="15" t="n">
        <v>16.35878745</v>
      </c>
      <c r="X25" s="15" t="n">
        <v>16.27870395</v>
      </c>
      <c r="Y25" s="15" t="n">
        <v>16.86074449</v>
      </c>
      <c r="Z25" s="15" t="n">
        <v>16.72839839</v>
      </c>
      <c r="AA25" s="16" t="n">
        <f aca="false">Z25/Q25-1</f>
        <v>0.0829211620545836</v>
      </c>
      <c r="AB25" s="16" t="n">
        <v>0.1833</v>
      </c>
      <c r="AC25" s="16" t="n">
        <v>0.093</v>
      </c>
      <c r="AD25" s="16" t="n">
        <v>0.1325</v>
      </c>
      <c r="AE25" s="16" t="n">
        <v>0.0484</v>
      </c>
      <c r="AF25" s="16"/>
      <c r="AG25" s="17" t="n">
        <v>-21217283.4</v>
      </c>
      <c r="AH25" s="18" t="n">
        <f aca="false">IFERROR(AVERAGE($AB25:$AF25),"")</f>
        <v>0.1143</v>
      </c>
      <c r="AI25" s="18" t="n">
        <f aca="false">IFERROR(_xlfn.STDEV.P($AB25:$AF25),"")</f>
        <v>0.0497210719916616</v>
      </c>
    </row>
    <row r="26" customFormat="false" ht="14.25" hidden="false" customHeight="true" outlineLevel="0" collapsed="false">
      <c r="A26" s="11" t="s">
        <v>75</v>
      </c>
      <c r="B26" s="12" t="s">
        <v>74</v>
      </c>
      <c r="C26" s="11" t="s">
        <v>27</v>
      </c>
      <c r="D26" s="11" t="s">
        <v>60</v>
      </c>
      <c r="E26" s="11" t="s">
        <v>61</v>
      </c>
      <c r="F26" s="11" t="s">
        <v>62</v>
      </c>
      <c r="G26" s="11" t="s">
        <v>56</v>
      </c>
      <c r="H26" s="11" t="s">
        <v>37</v>
      </c>
      <c r="I26" s="11" t="s">
        <v>38</v>
      </c>
      <c r="J26" s="11" t="s">
        <v>39</v>
      </c>
      <c r="K26" s="13" t="n">
        <v>0.008</v>
      </c>
      <c r="L26" s="14" t="n">
        <v>45580</v>
      </c>
      <c r="M26" s="15" t="n">
        <v>10.97862827</v>
      </c>
      <c r="N26" s="15" t="n">
        <v>11.29296123</v>
      </c>
      <c r="O26" s="15" t="n">
        <v>11.59729446</v>
      </c>
      <c r="P26" s="15" t="n">
        <v>11.58903219</v>
      </c>
      <c r="Q26" s="15" t="n">
        <v>11.6713636</v>
      </c>
      <c r="R26" s="15" t="n">
        <v>11.72686121</v>
      </c>
      <c r="S26" s="15" t="n">
        <v>11.63575675</v>
      </c>
      <c r="T26" s="15" t="n">
        <v>10.92897673</v>
      </c>
      <c r="U26" s="15" t="n">
        <v>12.10174632</v>
      </c>
      <c r="V26" s="15" t="n">
        <v>12.7703548</v>
      </c>
      <c r="W26" s="15" t="n">
        <v>12.58628036</v>
      </c>
      <c r="X26" s="15" t="n">
        <v>12.50264894</v>
      </c>
      <c r="Y26" s="15" t="n">
        <v>13.01969985</v>
      </c>
      <c r="Z26" s="15" t="n">
        <v>12.94317772</v>
      </c>
      <c r="AA26" s="16" t="n">
        <f aca="false">Z26/Q26-1</f>
        <v>0.108968768653562</v>
      </c>
      <c r="AB26" s="16" t="n">
        <v>0.1486</v>
      </c>
      <c r="AC26" s="16" t="n">
        <v>0.0122</v>
      </c>
      <c r="AD26" s="16"/>
      <c r="AE26" s="16"/>
      <c r="AF26" s="16"/>
      <c r="AG26" s="17" t="n">
        <v>-14880439.46</v>
      </c>
      <c r="AH26" s="18" t="n">
        <f aca="false">IFERROR(AVERAGE($AB26:$AF26),"")</f>
        <v>0.0804</v>
      </c>
      <c r="AI26" s="18" t="n">
        <f aca="false">IFERROR(_xlfn.STDEV.P($AB26:$AF26),"")</f>
        <v>0.0682</v>
      </c>
    </row>
    <row r="27" customFormat="false" ht="14.25" hidden="false" customHeight="true" outlineLevel="0" collapsed="false">
      <c r="A27" s="11" t="s">
        <v>76</v>
      </c>
      <c r="B27" s="12" t="s">
        <v>74</v>
      </c>
      <c r="C27" s="11" t="s">
        <v>27</v>
      </c>
      <c r="D27" s="11" t="s">
        <v>44</v>
      </c>
      <c r="E27" s="11" t="s">
        <v>45</v>
      </c>
      <c r="F27" s="11" t="s">
        <v>21</v>
      </c>
      <c r="G27" s="11" t="s">
        <v>28</v>
      </c>
      <c r="H27" s="11" t="s">
        <v>37</v>
      </c>
      <c r="I27" s="11" t="s">
        <v>24</v>
      </c>
      <c r="J27" s="11" t="s">
        <v>77</v>
      </c>
      <c r="K27" s="13" t="n">
        <v>0.011</v>
      </c>
      <c r="L27" s="14" t="n">
        <v>44636</v>
      </c>
      <c r="M27" s="15" t="n">
        <v>11.10395477</v>
      </c>
      <c r="N27" s="15" t="n">
        <v>11.22756677</v>
      </c>
      <c r="O27" s="15" t="n">
        <v>11.30099107</v>
      </c>
      <c r="P27" s="15" t="n">
        <v>11.36766485</v>
      </c>
      <c r="Q27" s="15" t="n">
        <v>11.414866</v>
      </c>
      <c r="R27" s="15" t="n">
        <v>11.47816212</v>
      </c>
      <c r="S27" s="15" t="n">
        <v>11.45268904</v>
      </c>
      <c r="T27" s="15" t="n">
        <v>11.31071698</v>
      </c>
      <c r="U27" s="15" t="n">
        <v>11.55559007</v>
      </c>
      <c r="V27" s="15" t="n">
        <v>11.59231766</v>
      </c>
      <c r="W27" s="15" t="n">
        <v>11.6596334</v>
      </c>
      <c r="X27" s="15" t="n">
        <v>11.64993218</v>
      </c>
      <c r="Y27" s="15" t="n">
        <v>11.79327502</v>
      </c>
      <c r="Z27" s="15" t="n">
        <v>11.64532533</v>
      </c>
      <c r="AA27" s="16" t="n">
        <f aca="false">Z27/Q27-1</f>
        <v>0.0201894030118268</v>
      </c>
      <c r="AB27" s="16" t="n">
        <v>0.0732</v>
      </c>
      <c r="AC27" s="16" t="n">
        <v>0.062</v>
      </c>
      <c r="AD27" s="16" t="n">
        <v>0.0606</v>
      </c>
      <c r="AE27" s="16" t="n">
        <v>-0.0584</v>
      </c>
      <c r="AF27" s="16"/>
      <c r="AG27" s="17" t="n">
        <v>-15031462.53</v>
      </c>
      <c r="AH27" s="18" t="n">
        <f aca="false">IFERROR(AVERAGE($AB27:$AF27),"")</f>
        <v>0.03435</v>
      </c>
      <c r="AI27" s="18" t="n">
        <f aca="false">IFERROR(_xlfn.STDEV.P($AB27:$AF27),"")</f>
        <v>0.0537714375853947</v>
      </c>
    </row>
    <row r="28" customFormat="false" ht="14.25" hidden="false" customHeight="true" outlineLevel="0" collapsed="false">
      <c r="A28" s="11" t="s">
        <v>78</v>
      </c>
      <c r="B28" s="12" t="s">
        <v>74</v>
      </c>
      <c r="C28" s="11" t="s">
        <v>27</v>
      </c>
      <c r="D28" s="11" t="s">
        <v>19</v>
      </c>
      <c r="E28" s="11" t="s">
        <v>20</v>
      </c>
      <c r="F28" s="11" t="s">
        <v>21</v>
      </c>
      <c r="G28" s="11" t="s">
        <v>22</v>
      </c>
      <c r="H28" s="11" t="s">
        <v>23</v>
      </c>
      <c r="I28" s="11" t="s">
        <v>24</v>
      </c>
      <c r="J28" s="11" t="s">
        <v>77</v>
      </c>
      <c r="K28" s="13" t="n">
        <v>0.005</v>
      </c>
      <c r="L28" s="14" t="n">
        <v>44971</v>
      </c>
      <c r="M28" s="15" t="n">
        <v>11.40820143</v>
      </c>
      <c r="N28" s="15" t="n">
        <v>11.4543744</v>
      </c>
      <c r="O28" s="15" t="n">
        <v>11.49255364</v>
      </c>
      <c r="P28" s="15" t="n">
        <v>11.53246444</v>
      </c>
      <c r="Q28" s="15" t="n">
        <v>11.58768376</v>
      </c>
      <c r="R28" s="15" t="n">
        <v>11.62216988</v>
      </c>
      <c r="S28" s="15" t="n">
        <v>11.63676473</v>
      </c>
      <c r="T28" s="15" t="n">
        <v>11.6493803</v>
      </c>
      <c r="U28" s="15" t="n">
        <v>11.71236623</v>
      </c>
      <c r="V28" s="15" t="n">
        <v>11.75041135</v>
      </c>
      <c r="W28" s="15" t="n">
        <v>11.7922331</v>
      </c>
      <c r="X28" s="15" t="n">
        <v>11.82435154</v>
      </c>
      <c r="Y28" s="15" t="n">
        <v>11.87897171</v>
      </c>
      <c r="Z28" s="15" t="n">
        <v>11.88691436</v>
      </c>
      <c r="AA28" s="16" t="n">
        <f aca="false">Z28/Q28-1</f>
        <v>0.0258231589847944</v>
      </c>
      <c r="AB28" s="16" t="n">
        <v>0.0532</v>
      </c>
      <c r="AC28" s="16" t="n">
        <v>0.0537</v>
      </c>
      <c r="AD28" s="16" t="n">
        <v>0.0441</v>
      </c>
      <c r="AE28" s="16"/>
      <c r="AF28" s="16"/>
      <c r="AG28" s="17" t="n">
        <v>94229995.97</v>
      </c>
      <c r="AH28" s="18" t="n">
        <f aca="false">IFERROR(AVERAGE($AB28:$AF28),"")</f>
        <v>0.0503333333333333</v>
      </c>
      <c r="AI28" s="18" t="n">
        <f aca="false">IFERROR(_xlfn.STDEV.P($AB28:$AF28),"")</f>
        <v>0.00441235638733873</v>
      </c>
    </row>
    <row r="29" customFormat="false" ht="14.25" hidden="false" customHeight="true" outlineLevel="0" collapsed="false">
      <c r="A29" s="11" t="s">
        <v>79</v>
      </c>
      <c r="B29" s="12" t="s">
        <v>74</v>
      </c>
      <c r="C29" s="11" t="s">
        <v>27</v>
      </c>
      <c r="D29" s="11" t="s">
        <v>69</v>
      </c>
      <c r="E29" s="11" t="s">
        <v>80</v>
      </c>
      <c r="F29" s="11" t="s">
        <v>81</v>
      </c>
      <c r="G29" s="11" t="s">
        <v>28</v>
      </c>
      <c r="H29" s="11" t="s">
        <v>46</v>
      </c>
      <c r="I29" s="11" t="s">
        <v>24</v>
      </c>
      <c r="J29" s="11" t="s">
        <v>77</v>
      </c>
      <c r="K29" s="13" t="n">
        <v>0.01</v>
      </c>
      <c r="L29" s="14" t="n">
        <v>45852</v>
      </c>
      <c r="M29" s="15" t="n">
        <v>10.3298697</v>
      </c>
      <c r="N29" s="15" t="n">
        <v>10.83223627</v>
      </c>
      <c r="O29" s="15" t="n">
        <v>11.06495232</v>
      </c>
      <c r="P29" s="15" t="n">
        <v>10.79701493</v>
      </c>
      <c r="Q29" s="15" t="n">
        <v>10.84128801</v>
      </c>
      <c r="R29" s="15" t="n">
        <v>11.45769972</v>
      </c>
      <c r="S29" s="15" t="n">
        <v>11.95634313</v>
      </c>
      <c r="T29" s="15" t="n">
        <v>10.77661321</v>
      </c>
      <c r="U29" s="15" t="n">
        <v>11.57416307</v>
      </c>
      <c r="V29" s="15" t="n">
        <v>12.52468821</v>
      </c>
      <c r="W29" s="15" t="n">
        <v>12.40217563</v>
      </c>
      <c r="X29" s="15" t="n">
        <v>11.12508272</v>
      </c>
      <c r="Y29" s="15" t="n">
        <v>11.62009039</v>
      </c>
      <c r="Z29" s="15" t="n">
        <v>11.41205166</v>
      </c>
      <c r="AA29" s="16" t="n">
        <f aca="false">Z29/Q29-1</f>
        <v>0.0526472176989974</v>
      </c>
      <c r="AB29" s="16" t="n">
        <v>0.0763</v>
      </c>
      <c r="AC29" s="16"/>
      <c r="AD29" s="16"/>
      <c r="AE29" s="16"/>
      <c r="AF29" s="16"/>
      <c r="AG29" s="17" t="n">
        <v>-34384561.57</v>
      </c>
      <c r="AH29" s="18" t="n">
        <f aca="false">IFERROR(AVERAGE($AB29:$AF29),"")</f>
        <v>0.0763</v>
      </c>
      <c r="AI29" s="18" t="n">
        <f aca="false">IFERROR(_xlfn.STDEV.P($AB29:$AF29),"")</f>
        <v>0</v>
      </c>
    </row>
    <row r="30" customFormat="false" ht="14.25" hidden="false" customHeight="true" outlineLevel="0" collapsed="false">
      <c r="A30" s="11" t="s">
        <v>82</v>
      </c>
      <c r="B30" s="12" t="s">
        <v>83</v>
      </c>
      <c r="C30" s="11" t="s">
        <v>27</v>
      </c>
      <c r="D30" s="11" t="s">
        <v>35</v>
      </c>
      <c r="E30" s="11" t="s">
        <v>36</v>
      </c>
      <c r="F30" s="11" t="s">
        <v>21</v>
      </c>
      <c r="G30" s="11" t="s">
        <v>28</v>
      </c>
      <c r="H30" s="11" t="s">
        <v>37</v>
      </c>
      <c r="I30" s="11" t="s">
        <v>38</v>
      </c>
      <c r="J30" s="11" t="s">
        <v>39</v>
      </c>
      <c r="K30" s="13" t="n">
        <v>0.0055</v>
      </c>
      <c r="L30" s="14" t="n">
        <v>44120</v>
      </c>
      <c r="M30" s="15" t="n">
        <v>112.88901548</v>
      </c>
      <c r="N30" s="15" t="n">
        <v>114.25119456</v>
      </c>
      <c r="O30" s="15" t="n">
        <v>115.53143883</v>
      </c>
      <c r="P30" s="15" t="n">
        <v>116.04904321</v>
      </c>
      <c r="Q30" s="15" t="n">
        <v>116.85598005</v>
      </c>
      <c r="R30" s="15" t="n">
        <v>117.9130186</v>
      </c>
      <c r="S30" s="15" t="n">
        <v>119.36221285</v>
      </c>
      <c r="T30" s="15" t="n">
        <v>113.33479893</v>
      </c>
      <c r="U30" s="15" t="n">
        <v>119.0822963</v>
      </c>
      <c r="V30" s="15" t="n">
        <v>122.23203494</v>
      </c>
      <c r="W30" s="15" t="n">
        <v>122.09671539</v>
      </c>
      <c r="X30" s="15" t="n">
        <v>121.17885375</v>
      </c>
      <c r="Y30" s="15" t="n">
        <v>123.58812736</v>
      </c>
      <c r="Z30" s="15" t="n">
        <v>120.99696679</v>
      </c>
      <c r="AA30" s="16" t="n">
        <f aca="false">Z30/Q30-1</f>
        <v>0.0354366694646535</v>
      </c>
      <c r="AB30" s="16" t="n">
        <v>0.0532</v>
      </c>
      <c r="AC30" s="16" t="n">
        <v>0.0423</v>
      </c>
      <c r="AD30" s="16" t="n">
        <v>0.0823</v>
      </c>
      <c r="AE30" s="16" t="n">
        <v>-0.1451</v>
      </c>
      <c r="AF30" s="16" t="n">
        <v>0.1004</v>
      </c>
      <c r="AG30" s="17" t="n">
        <v>0</v>
      </c>
      <c r="AH30" s="18" t="n">
        <f aca="false">IFERROR(AVERAGE($AB30:$AF30),"")</f>
        <v>0.02662</v>
      </c>
      <c r="AI30" s="18" t="n">
        <f aca="false">IFERROR(_xlfn.STDEV.P($AB30:$AF30),"")</f>
        <v>0.0882993408808922</v>
      </c>
    </row>
    <row r="31" customFormat="false" ht="14.25" hidden="false" customHeight="true" outlineLevel="0" collapsed="false">
      <c r="A31" s="11" t="s">
        <v>84</v>
      </c>
      <c r="B31" s="12" t="s">
        <v>85</v>
      </c>
      <c r="C31" s="11" t="s">
        <v>18</v>
      </c>
      <c r="D31" s="11" t="s">
        <v>19</v>
      </c>
      <c r="E31" s="11" t="s">
        <v>20</v>
      </c>
      <c r="F31" s="11" t="s">
        <v>21</v>
      </c>
      <c r="G31" s="11" t="s">
        <v>22</v>
      </c>
      <c r="H31" s="11" t="s">
        <v>23</v>
      </c>
      <c r="I31" s="11" t="s">
        <v>24</v>
      </c>
      <c r="J31" s="11" t="s">
        <v>77</v>
      </c>
      <c r="K31" s="13" t="n">
        <v>0.0102</v>
      </c>
      <c r="L31" s="14" t="n">
        <v>44783</v>
      </c>
      <c r="M31" s="15" t="n">
        <v>1203.6311</v>
      </c>
      <c r="N31" s="15" t="n">
        <v>1208.5509</v>
      </c>
      <c r="O31" s="15" t="n">
        <v>1213.3837</v>
      </c>
      <c r="P31" s="15" t="n">
        <v>1216.4279</v>
      </c>
      <c r="Q31" s="15" t="n">
        <v>1221.2643</v>
      </c>
      <c r="R31" s="15" t="n">
        <v>1225.6391</v>
      </c>
      <c r="S31" s="15" t="n">
        <v>1233.7852</v>
      </c>
      <c r="T31" s="15" t="n">
        <v>1237.4522</v>
      </c>
      <c r="U31" s="15" t="n">
        <v>1243.2598</v>
      </c>
      <c r="V31" s="15" t="n">
        <v>1248.5495</v>
      </c>
      <c r="W31" s="15" t="n">
        <v>1254.9171</v>
      </c>
      <c r="X31" s="15" t="n">
        <v>1260.8455</v>
      </c>
      <c r="Y31" s="15" t="n">
        <v>1266.1784</v>
      </c>
      <c r="Z31" s="15" t="n">
        <v>1269.3969</v>
      </c>
      <c r="AA31" s="16" t="n">
        <f aca="false">Z31/Q31-1</f>
        <v>0.0394121076002958</v>
      </c>
      <c r="AB31" s="16" t="n">
        <v>0.0551</v>
      </c>
      <c r="AC31" s="16" t="n">
        <v>0.0616</v>
      </c>
      <c r="AD31" s="16" t="n">
        <v>0.0625</v>
      </c>
      <c r="AE31" s="16" t="n">
        <v>0.0236</v>
      </c>
      <c r="AF31" s="16"/>
      <c r="AG31" s="17" t="n">
        <v>9525805.66</v>
      </c>
      <c r="AH31" s="18" t="n">
        <f aca="false">IFERROR(AVERAGE($AB31:$AF31),"")</f>
        <v>0.0507</v>
      </c>
      <c r="AI31" s="18" t="n">
        <f aca="false">IFERROR(_xlfn.STDEV.P($AB31:$AF31),"")</f>
        <v>0.0159045590948005</v>
      </c>
    </row>
    <row r="32" customFormat="false" ht="14.25" hidden="false" customHeight="true" outlineLevel="0" collapsed="false">
      <c r="A32" s="11" t="s">
        <v>86</v>
      </c>
      <c r="B32" s="12" t="s">
        <v>87</v>
      </c>
      <c r="C32" s="11" t="s">
        <v>27</v>
      </c>
      <c r="D32" s="11" t="s">
        <v>60</v>
      </c>
      <c r="E32" s="11" t="s">
        <v>61</v>
      </c>
      <c r="F32" s="11" t="s">
        <v>62</v>
      </c>
      <c r="G32" s="11" t="s">
        <v>22</v>
      </c>
      <c r="H32" s="11" t="s">
        <v>37</v>
      </c>
      <c r="I32" s="11" t="s">
        <v>24</v>
      </c>
      <c r="J32" s="11" t="s">
        <v>88</v>
      </c>
      <c r="K32" s="13" t="n">
        <v>0.035</v>
      </c>
      <c r="L32" s="14" t="n">
        <v>39099</v>
      </c>
      <c r="M32" s="15" t="n">
        <v>201.440377</v>
      </c>
      <c r="N32" s="15" t="n">
        <v>217.467013</v>
      </c>
      <c r="O32" s="15" t="n">
        <v>222.799552</v>
      </c>
      <c r="P32" s="15" t="n">
        <v>222.947785</v>
      </c>
      <c r="Q32" s="15" t="n">
        <v>248.303958</v>
      </c>
      <c r="R32" s="15" t="n">
        <v>290.11301</v>
      </c>
      <c r="S32" s="15" t="n">
        <v>306.463662</v>
      </c>
      <c r="T32" s="15" t="n">
        <v>278.874097</v>
      </c>
      <c r="U32" s="15" t="n">
        <v>270.748575</v>
      </c>
      <c r="V32" s="15" t="n">
        <v>295.297842</v>
      </c>
      <c r="W32" s="15" t="n">
        <v>307.557843</v>
      </c>
      <c r="X32" s="15" t="n">
        <v>315.655856</v>
      </c>
      <c r="Y32" s="15" t="n">
        <v>322.52302</v>
      </c>
      <c r="Z32" s="15" t="n">
        <v>319.742875</v>
      </c>
      <c r="AA32" s="16" t="n">
        <f aca="false">Z32/Q32-1</f>
        <v>0.287707524178894</v>
      </c>
      <c r="AB32" s="16" t="n">
        <v>0.5002</v>
      </c>
      <c r="AC32" s="16" t="n">
        <v>0.0939</v>
      </c>
      <c r="AD32" s="16" t="n">
        <v>0.228</v>
      </c>
      <c r="AE32" s="16" t="n">
        <v>0.0215</v>
      </c>
      <c r="AF32" s="16" t="n">
        <v>-0.0644</v>
      </c>
      <c r="AG32" s="17" t="n">
        <v>122636701.93</v>
      </c>
      <c r="AH32" s="18" t="n">
        <f aca="false">IFERROR(AVERAGE($AB32:$AF32),"")</f>
        <v>0.15584</v>
      </c>
      <c r="AI32" s="18" t="n">
        <f aca="false">IFERROR(_xlfn.STDEV.P($AB32:$AF32),"")</f>
        <v>0.197068684473206</v>
      </c>
    </row>
    <row r="33" customFormat="false" ht="14.25" hidden="false" customHeight="true" outlineLevel="0" collapsed="false">
      <c r="A33" s="11" t="s">
        <v>89</v>
      </c>
      <c r="B33" s="12" t="s">
        <v>87</v>
      </c>
      <c r="C33" s="11" t="s">
        <v>27</v>
      </c>
      <c r="D33" s="11" t="s">
        <v>60</v>
      </c>
      <c r="E33" s="11" t="s">
        <v>61</v>
      </c>
      <c r="F33" s="11" t="s">
        <v>64</v>
      </c>
      <c r="G33" s="11" t="s">
        <v>22</v>
      </c>
      <c r="H33" s="11" t="s">
        <v>37</v>
      </c>
      <c r="I33" s="11" t="s">
        <v>38</v>
      </c>
      <c r="J33" s="11" t="s">
        <v>39</v>
      </c>
      <c r="K33" s="13" t="n">
        <v>0.0165</v>
      </c>
      <c r="L33" s="14" t="n">
        <v>44312</v>
      </c>
      <c r="M33" s="15" t="n">
        <v>131.003179</v>
      </c>
      <c r="N33" s="15" t="n">
        <v>135.011929</v>
      </c>
      <c r="O33" s="15" t="n">
        <v>140.338058</v>
      </c>
      <c r="P33" s="15" t="n">
        <v>134.871474</v>
      </c>
      <c r="Q33" s="15" t="n">
        <v>135.184465</v>
      </c>
      <c r="R33" s="15" t="n">
        <v>135.244202</v>
      </c>
      <c r="S33" s="15" t="n">
        <v>127.115352</v>
      </c>
      <c r="T33" s="15" t="n">
        <v>114.07937</v>
      </c>
      <c r="U33" s="15" t="n">
        <v>138.688236</v>
      </c>
      <c r="V33" s="15" t="n">
        <v>148.509266</v>
      </c>
      <c r="W33" s="15" t="n">
        <v>144.706977</v>
      </c>
      <c r="X33" s="15" t="n">
        <v>134.895736</v>
      </c>
      <c r="Y33" s="15" t="n">
        <v>141.892928</v>
      </c>
      <c r="Z33" s="15" t="n">
        <v>148.647361</v>
      </c>
      <c r="AA33" s="16" t="n">
        <f aca="false">Z33/Q33-1</f>
        <v>0.0995890763039968</v>
      </c>
      <c r="AB33" s="16" t="n">
        <v>0.1606</v>
      </c>
      <c r="AC33" s="16" t="n">
        <v>0.2867</v>
      </c>
      <c r="AD33" s="16" t="n">
        <v>0.3933</v>
      </c>
      <c r="AE33" s="16" t="n">
        <v>-0.3891</v>
      </c>
      <c r="AF33" s="16" t="n">
        <v>0.0591</v>
      </c>
      <c r="AG33" s="17" t="n">
        <v>117636020.09</v>
      </c>
      <c r="AH33" s="18" t="n">
        <f aca="false">IFERROR(AVERAGE($AB33:$AF33),"")</f>
        <v>0.10212</v>
      </c>
      <c r="AI33" s="18" t="n">
        <f aca="false">IFERROR(_xlfn.STDEV.P($AB33:$AF33),"")</f>
        <v>0.270341742244885</v>
      </c>
    </row>
    <row r="34" customFormat="false" ht="14.25" hidden="false" customHeight="true" outlineLevel="0" collapsed="false">
      <c r="A34" s="11" t="s">
        <v>90</v>
      </c>
      <c r="B34" s="12" t="s">
        <v>87</v>
      </c>
      <c r="C34" s="11" t="s">
        <v>27</v>
      </c>
      <c r="D34" s="11" t="s">
        <v>60</v>
      </c>
      <c r="E34" s="11" t="s">
        <v>61</v>
      </c>
      <c r="F34" s="11" t="s">
        <v>62</v>
      </c>
      <c r="G34" s="11" t="s">
        <v>22</v>
      </c>
      <c r="H34" s="11" t="s">
        <v>37</v>
      </c>
      <c r="I34" s="11" t="s">
        <v>38</v>
      </c>
      <c r="J34" s="11" t="s">
        <v>39</v>
      </c>
      <c r="K34" s="13" t="n">
        <v>0.015</v>
      </c>
      <c r="L34" s="14" t="n">
        <v>41135</v>
      </c>
      <c r="M34" s="15" t="n">
        <v>58.012119</v>
      </c>
      <c r="N34" s="15" t="n">
        <v>61.405432</v>
      </c>
      <c r="O34" s="15" t="n">
        <v>62.056004</v>
      </c>
      <c r="P34" s="15" t="n">
        <v>64.682285</v>
      </c>
      <c r="Q34" s="15" t="n">
        <v>65.542394</v>
      </c>
      <c r="R34" s="15" t="n">
        <v>76.257323</v>
      </c>
      <c r="S34" s="15" t="n">
        <v>77.52679</v>
      </c>
      <c r="T34" s="15" t="n">
        <v>71.505186</v>
      </c>
      <c r="U34" s="15" t="n">
        <v>75.368479</v>
      </c>
      <c r="V34" s="15" t="n">
        <v>73.712811</v>
      </c>
      <c r="W34" s="15" t="n">
        <v>72.187647</v>
      </c>
      <c r="X34" s="15" t="n">
        <v>74.992752</v>
      </c>
      <c r="Y34" s="15" t="n">
        <v>73.791927</v>
      </c>
      <c r="Z34" s="15" t="n">
        <v>73.805806</v>
      </c>
      <c r="AA34" s="16" t="n">
        <f aca="false">Z34/Q34-1</f>
        <v>0.126077359945076</v>
      </c>
      <c r="AB34" s="16" t="n">
        <v>0.4283</v>
      </c>
      <c r="AC34" s="16" t="n">
        <v>-0.2739</v>
      </c>
      <c r="AD34" s="16" t="n">
        <v>0.2669</v>
      </c>
      <c r="AE34" s="16" t="n">
        <v>-0.0187</v>
      </c>
      <c r="AF34" s="16" t="n">
        <v>-0.0882</v>
      </c>
      <c r="AG34" s="17" t="n">
        <v>50557142.75</v>
      </c>
      <c r="AH34" s="18" t="n">
        <f aca="false">IFERROR(AVERAGE($AB34:$AF34),"")</f>
        <v>0.06288</v>
      </c>
      <c r="AI34" s="18" t="n">
        <f aca="false">IFERROR(_xlfn.STDEV.P($AB34:$AF34),"")</f>
        <v>0.252213071826184</v>
      </c>
    </row>
    <row r="35" customFormat="false" ht="14.25" hidden="false" customHeight="true" outlineLevel="0" collapsed="false">
      <c r="A35" s="11" t="s">
        <v>91</v>
      </c>
      <c r="B35" s="12" t="s">
        <v>87</v>
      </c>
      <c r="C35" s="11" t="s">
        <v>27</v>
      </c>
      <c r="D35" s="11" t="s">
        <v>60</v>
      </c>
      <c r="E35" s="11" t="s">
        <v>61</v>
      </c>
      <c r="F35" s="11" t="s">
        <v>62</v>
      </c>
      <c r="G35" s="11" t="s">
        <v>28</v>
      </c>
      <c r="H35" s="11" t="s">
        <v>37</v>
      </c>
      <c r="I35" s="11" t="s">
        <v>24</v>
      </c>
      <c r="J35" s="11" t="s">
        <v>88</v>
      </c>
      <c r="K35" s="13" t="n">
        <v>0.0175</v>
      </c>
      <c r="L35" s="14" t="n">
        <v>41358</v>
      </c>
      <c r="M35" s="15" t="n">
        <v>210.097572</v>
      </c>
      <c r="N35" s="15" t="n">
        <v>216.337688</v>
      </c>
      <c r="O35" s="15" t="n">
        <v>220.898871</v>
      </c>
      <c r="P35" s="15" t="n">
        <v>221.060646</v>
      </c>
      <c r="Q35" s="15" t="n">
        <v>222.96021</v>
      </c>
      <c r="R35" s="15" t="n">
        <v>228.062629</v>
      </c>
      <c r="S35" s="15" t="n">
        <v>231.110005</v>
      </c>
      <c r="T35" s="15" t="n">
        <v>214.99937</v>
      </c>
      <c r="U35" s="15" t="n">
        <v>236.47788</v>
      </c>
      <c r="V35" s="15" t="n">
        <v>247.439201</v>
      </c>
      <c r="W35" s="15" t="n">
        <v>245.066317</v>
      </c>
      <c r="X35" s="15" t="n">
        <v>242.704601</v>
      </c>
      <c r="Y35" s="15" t="n">
        <v>250.618322</v>
      </c>
      <c r="Z35" s="15" t="n">
        <v>247.895292</v>
      </c>
      <c r="AA35" s="16" t="n">
        <f aca="false">Z35/Q35-1</f>
        <v>0.111836466246601</v>
      </c>
      <c r="AB35" s="16" t="n">
        <v>0.188</v>
      </c>
      <c r="AC35" s="16" t="n">
        <v>0.1326</v>
      </c>
      <c r="AD35" s="16" t="n">
        <v>0.1656</v>
      </c>
      <c r="AE35" s="16" t="n">
        <v>-0.2041</v>
      </c>
      <c r="AF35" s="16" t="n">
        <v>0.1397</v>
      </c>
      <c r="AG35" s="17" t="n">
        <v>77979129.12</v>
      </c>
      <c r="AH35" s="18" t="n">
        <f aca="false">IFERROR(AVERAGE($AB35:$AF35),"")</f>
        <v>0.08436</v>
      </c>
      <c r="AI35" s="18" t="n">
        <f aca="false">IFERROR(_xlfn.STDEV.P($AB35:$AF35),"")</f>
        <v>0.145560964547505</v>
      </c>
    </row>
    <row r="36" customFormat="false" ht="14.25" hidden="false" customHeight="true" outlineLevel="0" collapsed="false">
      <c r="A36" s="11" t="s">
        <v>92</v>
      </c>
      <c r="B36" s="12" t="s">
        <v>87</v>
      </c>
      <c r="C36" s="11" t="s">
        <v>27</v>
      </c>
      <c r="D36" s="11" t="s">
        <v>60</v>
      </c>
      <c r="E36" s="11" t="s">
        <v>61</v>
      </c>
      <c r="F36" s="11" t="s">
        <v>62</v>
      </c>
      <c r="G36" s="11" t="s">
        <v>56</v>
      </c>
      <c r="H36" s="11" t="s">
        <v>37</v>
      </c>
      <c r="I36" s="11" t="s">
        <v>24</v>
      </c>
      <c r="J36" s="11" t="s">
        <v>39</v>
      </c>
      <c r="K36" s="13" t="n">
        <v>0.01</v>
      </c>
      <c r="L36" s="14" t="n">
        <v>42881</v>
      </c>
      <c r="M36" s="15" t="n">
        <v>250.371539</v>
      </c>
      <c r="N36" s="15" t="n">
        <v>249.811211</v>
      </c>
      <c r="O36" s="15" t="n">
        <v>252.517806</v>
      </c>
      <c r="P36" s="15" t="n">
        <v>250.283783</v>
      </c>
      <c r="Q36" s="15" t="n">
        <v>251.293628</v>
      </c>
      <c r="R36" s="15" t="n">
        <v>250.593362</v>
      </c>
      <c r="S36" s="15" t="n">
        <v>243.924776</v>
      </c>
      <c r="T36" s="15" t="n">
        <v>224.753926</v>
      </c>
      <c r="U36" s="15" t="n">
        <v>253.734633</v>
      </c>
      <c r="V36" s="15" t="n">
        <v>256.604064</v>
      </c>
      <c r="W36" s="15" t="n">
        <v>254.786277</v>
      </c>
      <c r="X36" s="15" t="n">
        <v>258.418715</v>
      </c>
      <c r="Y36" s="15" t="n">
        <v>270.118403</v>
      </c>
      <c r="Z36" s="15" t="n">
        <v>265.475659</v>
      </c>
      <c r="AA36" s="16" t="n">
        <f aca="false">Z36/Q36-1</f>
        <v>0.0564360947504805</v>
      </c>
      <c r="AB36" s="16" t="n">
        <v>0.0489</v>
      </c>
      <c r="AC36" s="16" t="n">
        <v>0.1796</v>
      </c>
      <c r="AD36" s="16" t="n">
        <v>0.3441</v>
      </c>
      <c r="AE36" s="16" t="n">
        <v>-0.3016</v>
      </c>
      <c r="AF36" s="16" t="n">
        <v>0.1873</v>
      </c>
      <c r="AG36" s="17" t="n">
        <v>165391282.49</v>
      </c>
      <c r="AH36" s="18" t="n">
        <f aca="false">IFERROR(AVERAGE($AB36:$AF36),"")</f>
        <v>0.09166</v>
      </c>
      <c r="AI36" s="18" t="n">
        <f aca="false">IFERROR(_xlfn.STDEV.P($AB36:$AF36),"")</f>
        <v>0.217755942284017</v>
      </c>
    </row>
    <row r="37" customFormat="false" ht="14.25" hidden="false" customHeight="true" outlineLevel="0" collapsed="false">
      <c r="A37" s="11" t="s">
        <v>93</v>
      </c>
      <c r="B37" s="12" t="s">
        <v>87</v>
      </c>
      <c r="C37" s="11" t="s">
        <v>27</v>
      </c>
      <c r="D37" s="11" t="s">
        <v>60</v>
      </c>
      <c r="E37" s="11" t="s">
        <v>61</v>
      </c>
      <c r="F37" s="11" t="s">
        <v>62</v>
      </c>
      <c r="G37" s="11" t="s">
        <v>51</v>
      </c>
      <c r="H37" s="11" t="s">
        <v>37</v>
      </c>
      <c r="I37" s="11" t="s">
        <v>24</v>
      </c>
      <c r="J37" s="11" t="s">
        <v>39</v>
      </c>
      <c r="K37" s="13" t="n">
        <v>0.01</v>
      </c>
      <c r="L37" s="14" t="n">
        <v>42891</v>
      </c>
      <c r="M37" s="15" t="n">
        <v>143.264632</v>
      </c>
      <c r="N37" s="15" t="n">
        <v>154.691027</v>
      </c>
      <c r="O37" s="15" t="n">
        <v>160.304979</v>
      </c>
      <c r="P37" s="15" t="n">
        <v>156.747357</v>
      </c>
      <c r="Q37" s="15" t="n">
        <v>161.735296</v>
      </c>
      <c r="R37" s="15" t="n">
        <v>174.655116</v>
      </c>
      <c r="S37" s="15" t="n">
        <v>182.954088</v>
      </c>
      <c r="T37" s="15" t="n">
        <v>158.69749</v>
      </c>
      <c r="U37" s="15" t="n">
        <v>186.801523</v>
      </c>
      <c r="V37" s="15" t="n">
        <v>209.345189</v>
      </c>
      <c r="W37" s="15" t="n">
        <v>206.567186</v>
      </c>
      <c r="X37" s="15" t="n">
        <v>197.059216</v>
      </c>
      <c r="Y37" s="15" t="n">
        <v>202.654988</v>
      </c>
      <c r="Z37" s="15" t="n">
        <v>201.727374</v>
      </c>
      <c r="AA37" s="16" t="n">
        <f aca="false">Z37/Q37-1</f>
        <v>0.247268709979051</v>
      </c>
      <c r="AB37" s="16" t="n">
        <v>0.2938</v>
      </c>
      <c r="AC37" s="16" t="n">
        <v>0.0799</v>
      </c>
      <c r="AD37" s="16" t="n">
        <v>0.0039</v>
      </c>
      <c r="AE37" s="16" t="n">
        <v>-0.1841</v>
      </c>
      <c r="AF37" s="16" t="n">
        <v>-0.0437</v>
      </c>
      <c r="AG37" s="17" t="n">
        <v>72338582.05</v>
      </c>
      <c r="AH37" s="18" t="n">
        <f aca="false">IFERROR(AVERAGE($AB37:$AF37),"")</f>
        <v>0.02996</v>
      </c>
      <c r="AI37" s="18" t="n">
        <f aca="false">IFERROR(_xlfn.STDEV.P($AB37:$AF37),"")</f>
        <v>0.157500572697372</v>
      </c>
    </row>
    <row r="38" customFormat="false" ht="14.25" hidden="false" customHeight="true" outlineLevel="0" collapsed="false">
      <c r="A38" s="11" t="s">
        <v>94</v>
      </c>
      <c r="B38" s="12" t="s">
        <v>87</v>
      </c>
      <c r="C38" s="11" t="s">
        <v>27</v>
      </c>
      <c r="D38" s="11" t="s">
        <v>60</v>
      </c>
      <c r="E38" s="11" t="s">
        <v>61</v>
      </c>
      <c r="F38" s="11" t="s">
        <v>62</v>
      </c>
      <c r="G38" s="11" t="s">
        <v>95</v>
      </c>
      <c r="H38" s="11" t="s">
        <v>37</v>
      </c>
      <c r="I38" s="11" t="s">
        <v>38</v>
      </c>
      <c r="J38" s="11" t="s">
        <v>39</v>
      </c>
      <c r="K38" s="13" t="n">
        <v>0.01</v>
      </c>
      <c r="L38" s="14" t="n">
        <v>44123</v>
      </c>
      <c r="M38" s="15" t="n">
        <v>111.024437</v>
      </c>
      <c r="N38" s="15" t="n">
        <v>111.170436</v>
      </c>
      <c r="O38" s="15" t="n">
        <v>112.606151</v>
      </c>
      <c r="P38" s="15" t="n">
        <v>110.616194</v>
      </c>
      <c r="Q38" s="15" t="n">
        <v>110.675642</v>
      </c>
      <c r="R38" s="15" t="n">
        <v>110.749772</v>
      </c>
      <c r="S38" s="15" t="n">
        <v>108.834318</v>
      </c>
      <c r="T38" s="15" t="n">
        <v>96.546747</v>
      </c>
      <c r="U38" s="15" t="n">
        <v>107.249131</v>
      </c>
      <c r="V38" s="15" t="n">
        <v>112.839307</v>
      </c>
      <c r="W38" s="15" t="n">
        <v>112.146393</v>
      </c>
      <c r="X38" s="15" t="n">
        <v>112.016167</v>
      </c>
      <c r="Y38" s="15" t="n">
        <v>115.172719</v>
      </c>
      <c r="Z38" s="15" t="n">
        <v>112.802363</v>
      </c>
      <c r="AA38" s="16" t="n">
        <f aca="false">Z38/Q38-1</f>
        <v>0.0192157999860529</v>
      </c>
      <c r="AB38" s="16" t="n">
        <v>0.0992</v>
      </c>
      <c r="AC38" s="16" t="n">
        <v>0.1015</v>
      </c>
      <c r="AD38" s="16" t="n">
        <v>0.2915</v>
      </c>
      <c r="AE38" s="16" t="n">
        <v>-0.3575</v>
      </c>
      <c r="AF38" s="16" t="n">
        <v>0.012</v>
      </c>
      <c r="AG38" s="17" t="n">
        <v>21964169.9</v>
      </c>
      <c r="AH38" s="18" t="n">
        <f aca="false">IFERROR(AVERAGE($AB38:$AF38),"")</f>
        <v>0.02934</v>
      </c>
      <c r="AI38" s="18" t="n">
        <f aca="false">IFERROR(_xlfn.STDEV.P($AB38:$AF38),"")</f>
        <v>0.21389773818346</v>
      </c>
    </row>
    <row r="39" customFormat="false" ht="14.25" hidden="false" customHeight="true" outlineLevel="0" collapsed="false">
      <c r="A39" s="11" t="s">
        <v>96</v>
      </c>
      <c r="B39" s="12" t="s">
        <v>87</v>
      </c>
      <c r="C39" s="11" t="s">
        <v>27</v>
      </c>
      <c r="D39" s="11" t="s">
        <v>60</v>
      </c>
      <c r="E39" s="11" t="s">
        <v>61</v>
      </c>
      <c r="F39" s="11" t="s">
        <v>62</v>
      </c>
      <c r="G39" s="11" t="s">
        <v>95</v>
      </c>
      <c r="H39" s="11" t="s">
        <v>37</v>
      </c>
      <c r="I39" s="11" t="s">
        <v>24</v>
      </c>
      <c r="J39" s="11" t="s">
        <v>39</v>
      </c>
      <c r="K39" s="13" t="n">
        <v>0.01</v>
      </c>
      <c r="L39" s="14" t="n">
        <v>42881</v>
      </c>
      <c r="M39" s="15" t="n">
        <v>174.481978</v>
      </c>
      <c r="N39" s="15" t="n">
        <v>174.933143</v>
      </c>
      <c r="O39" s="15" t="n">
        <v>180.65329</v>
      </c>
      <c r="P39" s="15" t="n">
        <v>181.445989</v>
      </c>
      <c r="Q39" s="15" t="n">
        <v>186.8649</v>
      </c>
      <c r="R39" s="15" t="n">
        <v>189.197096</v>
      </c>
      <c r="S39" s="15" t="n">
        <v>188.807816</v>
      </c>
      <c r="T39" s="15" t="n">
        <v>175.30571</v>
      </c>
      <c r="U39" s="15" t="n">
        <v>185.465723</v>
      </c>
      <c r="V39" s="15" t="n">
        <v>193.554541</v>
      </c>
      <c r="W39" s="15" t="n">
        <v>198.210972</v>
      </c>
      <c r="X39" s="15" t="n">
        <v>197.260372</v>
      </c>
      <c r="Y39" s="15" t="n">
        <v>200.546498</v>
      </c>
      <c r="Z39" s="15" t="n">
        <v>195.618545</v>
      </c>
      <c r="AA39" s="16" t="n">
        <f aca="false">Z39/Q39-1</f>
        <v>0.0468447793031221</v>
      </c>
      <c r="AB39" s="16" t="n">
        <v>0.155</v>
      </c>
      <c r="AC39" s="16" t="n">
        <v>0.0131</v>
      </c>
      <c r="AD39" s="16" t="n">
        <v>0.2146</v>
      </c>
      <c r="AE39" s="16" t="n">
        <v>-0.2655</v>
      </c>
      <c r="AF39" s="16" t="n">
        <v>0.2902</v>
      </c>
      <c r="AG39" s="17" t="n">
        <v>70629016.32</v>
      </c>
      <c r="AH39" s="18" t="n">
        <f aca="false">IFERROR(AVERAGE($AB39:$AF39),"")</f>
        <v>0.08148</v>
      </c>
      <c r="AI39" s="18" t="n">
        <f aca="false">IFERROR(_xlfn.STDEV.P($AB39:$AF39),"")</f>
        <v>0.195837232415085</v>
      </c>
    </row>
    <row r="40" customFormat="false" ht="14.25" hidden="false" customHeight="true" outlineLevel="0" collapsed="false">
      <c r="A40" s="11" t="s">
        <v>97</v>
      </c>
      <c r="B40" s="12" t="s">
        <v>87</v>
      </c>
      <c r="C40" s="11" t="s">
        <v>27</v>
      </c>
      <c r="D40" s="11" t="s">
        <v>60</v>
      </c>
      <c r="E40" s="11" t="s">
        <v>61</v>
      </c>
      <c r="F40" s="11" t="s">
        <v>62</v>
      </c>
      <c r="G40" s="11" t="s">
        <v>28</v>
      </c>
      <c r="H40" s="11" t="s">
        <v>37</v>
      </c>
      <c r="I40" s="11" t="s">
        <v>38</v>
      </c>
      <c r="J40" s="11" t="s">
        <v>39</v>
      </c>
      <c r="K40" s="13" t="n">
        <v>0.01</v>
      </c>
      <c r="L40" s="14" t="n">
        <v>43375</v>
      </c>
      <c r="M40" s="15" t="n">
        <v>162.65048</v>
      </c>
      <c r="N40" s="15" t="n">
        <v>163.838659</v>
      </c>
      <c r="O40" s="15" t="n">
        <v>164.03213</v>
      </c>
      <c r="P40" s="15" t="n">
        <v>158.026466</v>
      </c>
      <c r="Q40" s="15" t="n">
        <v>157.357624</v>
      </c>
      <c r="R40" s="15" t="n">
        <v>157.166773</v>
      </c>
      <c r="S40" s="15" t="n">
        <v>151.436266</v>
      </c>
      <c r="T40" s="15" t="n">
        <v>142.421619</v>
      </c>
      <c r="U40" s="15" t="n">
        <v>159.94626</v>
      </c>
      <c r="V40" s="15" t="n">
        <v>189.82217</v>
      </c>
      <c r="W40" s="15" t="n">
        <v>203.104341</v>
      </c>
      <c r="X40" s="15" t="n">
        <v>192.396317</v>
      </c>
      <c r="Y40" s="15" t="n">
        <v>197.897166</v>
      </c>
      <c r="Z40" s="15" t="n">
        <v>209.018375</v>
      </c>
      <c r="AA40" s="16" t="n">
        <f aca="false">Z40/Q40-1</f>
        <v>0.32830154451239</v>
      </c>
      <c r="AB40" s="16" t="n">
        <v>0.0389</v>
      </c>
      <c r="AC40" s="16" t="n">
        <v>0.118</v>
      </c>
      <c r="AD40" s="16" t="n">
        <v>0.1938</v>
      </c>
      <c r="AE40" s="16" t="n">
        <v>-0.3187</v>
      </c>
      <c r="AF40" s="16" t="n">
        <v>0.1894</v>
      </c>
      <c r="AG40" s="17" t="n">
        <v>26103642.31</v>
      </c>
      <c r="AH40" s="18" t="n">
        <f aca="false">IFERROR(AVERAGE($AB40:$AF40),"")</f>
        <v>0.04428</v>
      </c>
      <c r="AI40" s="18" t="n">
        <f aca="false">IFERROR(_xlfn.STDEV.P($AB40:$AF40),"")</f>
        <v>0.190070570052283</v>
      </c>
    </row>
    <row r="41" customFormat="false" ht="14.25" hidden="false" customHeight="true" outlineLevel="0" collapsed="false">
      <c r="A41" s="11" t="s">
        <v>98</v>
      </c>
      <c r="B41" s="12" t="s">
        <v>87</v>
      </c>
      <c r="C41" s="11" t="s">
        <v>27</v>
      </c>
      <c r="D41" s="11" t="s">
        <v>60</v>
      </c>
      <c r="E41" s="11" t="s">
        <v>61</v>
      </c>
      <c r="F41" s="11" t="s">
        <v>62</v>
      </c>
      <c r="G41" s="11" t="s">
        <v>51</v>
      </c>
      <c r="H41" s="11" t="s">
        <v>37</v>
      </c>
      <c r="I41" s="11" t="s">
        <v>38</v>
      </c>
      <c r="J41" s="11" t="s">
        <v>39</v>
      </c>
      <c r="K41" s="13" t="n">
        <v>0.01</v>
      </c>
      <c r="L41" s="14" t="n">
        <v>44256</v>
      </c>
      <c r="M41" s="15" t="n">
        <v>68.036996</v>
      </c>
      <c r="N41" s="15" t="n">
        <v>73.366604</v>
      </c>
      <c r="O41" s="15" t="n">
        <v>72.064001</v>
      </c>
      <c r="P41" s="15" t="n">
        <v>70.651074</v>
      </c>
      <c r="Q41" s="15" t="n">
        <v>75.454304</v>
      </c>
      <c r="R41" s="15" t="n">
        <v>78.832364</v>
      </c>
      <c r="S41" s="15" t="n">
        <v>80.243929</v>
      </c>
      <c r="T41" s="15" t="n">
        <v>73.660944</v>
      </c>
      <c r="U41" s="15" t="n">
        <v>83.641382</v>
      </c>
      <c r="V41" s="15" t="n">
        <v>89.018748</v>
      </c>
      <c r="W41" s="15" t="n">
        <v>95.192548</v>
      </c>
      <c r="X41" s="15" t="n">
        <v>84.32956</v>
      </c>
      <c r="Y41" s="15" t="n">
        <v>86.452535</v>
      </c>
      <c r="Z41" s="15" t="n">
        <v>80.635178</v>
      </c>
      <c r="AA41" s="16" t="n">
        <f aca="false">Z41/Q41-1</f>
        <v>0.0686624052618656</v>
      </c>
      <c r="AB41" s="16" t="n">
        <v>0.3875</v>
      </c>
      <c r="AC41" s="16" t="n">
        <v>0.0773</v>
      </c>
      <c r="AD41" s="16" t="n">
        <v>-0.2229</v>
      </c>
      <c r="AE41" s="16" t="n">
        <v>-0.3401</v>
      </c>
      <c r="AF41" s="16" t="n">
        <v>-0.0123</v>
      </c>
      <c r="AG41" s="17" t="n">
        <v>31700307.35</v>
      </c>
      <c r="AH41" s="18" t="n">
        <f aca="false">IFERROR(AVERAGE($AB41:$AF41),"")</f>
        <v>-0.0221</v>
      </c>
      <c r="AI41" s="18" t="n">
        <f aca="false">IFERROR(_xlfn.STDEV.P($AB41:$AF41),"")</f>
        <v>0.252663095841082</v>
      </c>
    </row>
    <row r="42" customFormat="false" ht="14.25" hidden="false" customHeight="true" outlineLevel="0" collapsed="false">
      <c r="A42" s="11" t="s">
        <v>99</v>
      </c>
      <c r="B42" s="12" t="s">
        <v>87</v>
      </c>
      <c r="C42" s="11" t="s">
        <v>18</v>
      </c>
      <c r="D42" s="11" t="s">
        <v>44</v>
      </c>
      <c r="E42" s="11" t="s">
        <v>45</v>
      </c>
      <c r="F42" s="11" t="s">
        <v>21</v>
      </c>
      <c r="G42" s="11" t="s">
        <v>22</v>
      </c>
      <c r="H42" s="11" t="s">
        <v>37</v>
      </c>
      <c r="I42" s="11" t="s">
        <v>24</v>
      </c>
      <c r="J42" s="11" t="s">
        <v>77</v>
      </c>
      <c r="K42" s="13" t="n">
        <v>0.008</v>
      </c>
      <c r="L42" s="14" t="n">
        <v>43677</v>
      </c>
      <c r="M42" s="15" t="n">
        <v>129.316297</v>
      </c>
      <c r="N42" s="15" t="n">
        <v>130.138876</v>
      </c>
      <c r="O42" s="15" t="n">
        <v>130.436806</v>
      </c>
      <c r="P42" s="15" t="n">
        <v>131.274307</v>
      </c>
      <c r="Q42" s="15" t="n">
        <v>132.057028</v>
      </c>
      <c r="R42" s="15" t="n">
        <v>132.983195</v>
      </c>
      <c r="S42" s="15" t="n">
        <v>133.808953</v>
      </c>
      <c r="T42" s="15" t="n">
        <v>132.047952</v>
      </c>
      <c r="U42" s="15" t="n">
        <v>132.991084</v>
      </c>
      <c r="V42" s="15" t="n">
        <v>134.071223</v>
      </c>
      <c r="W42" s="15" t="n">
        <v>135.632928</v>
      </c>
      <c r="X42" s="15" t="n">
        <v>136.245195</v>
      </c>
      <c r="Y42" s="15" t="n">
        <v>136.378825</v>
      </c>
      <c r="Z42" s="15" t="n">
        <v>134.35873833</v>
      </c>
      <c r="AA42" s="16" t="n">
        <f aca="false">Z42/Q42-1</f>
        <v>0.017429669324377</v>
      </c>
      <c r="AB42" s="16" t="n">
        <v>0.0803</v>
      </c>
      <c r="AC42" s="16" t="n">
        <v>0.0974</v>
      </c>
      <c r="AD42" s="16" t="n">
        <v>0.1362</v>
      </c>
      <c r="AE42" s="16" t="n">
        <v>-0.0539</v>
      </c>
      <c r="AF42" s="16" t="n">
        <v>-0.0377</v>
      </c>
      <c r="AG42" s="17" t="n">
        <v>197862555.13</v>
      </c>
      <c r="AH42" s="18" t="n">
        <f aca="false">IFERROR(AVERAGE($AB42:$AF42),"")</f>
        <v>0.04446</v>
      </c>
      <c r="AI42" s="18" t="n">
        <f aca="false">IFERROR(_xlfn.STDEV.P($AB42:$AF42),"")</f>
        <v>0.0760635681519083</v>
      </c>
    </row>
    <row r="43" customFormat="false" ht="14.25" hidden="false" customHeight="true" outlineLevel="0" collapsed="false">
      <c r="A43" s="11" t="s">
        <v>100</v>
      </c>
      <c r="B43" s="12" t="s">
        <v>87</v>
      </c>
      <c r="C43" s="11" t="s">
        <v>18</v>
      </c>
      <c r="D43" s="11" t="s">
        <v>44</v>
      </c>
      <c r="E43" s="11" t="s">
        <v>45</v>
      </c>
      <c r="F43" s="11" t="s">
        <v>21</v>
      </c>
      <c r="G43" s="11" t="s">
        <v>22</v>
      </c>
      <c r="H43" s="11" t="s">
        <v>46</v>
      </c>
      <c r="I43" s="11" t="s">
        <v>24</v>
      </c>
      <c r="J43" s="11" t="s">
        <v>47</v>
      </c>
      <c r="K43" s="13" t="n">
        <v>0.014</v>
      </c>
      <c r="L43" s="14" t="n">
        <v>39150</v>
      </c>
      <c r="M43" s="15" t="n">
        <v>217.830125</v>
      </c>
      <c r="N43" s="15" t="n">
        <v>219.155531</v>
      </c>
      <c r="O43" s="15" t="n">
        <v>219.630042</v>
      </c>
      <c r="P43" s="15" t="n">
        <v>220.767451</v>
      </c>
      <c r="Q43" s="15" t="n">
        <v>221.857363</v>
      </c>
      <c r="R43" s="15" t="n">
        <v>223.126869</v>
      </c>
      <c r="S43" s="15" t="n">
        <v>224.074796</v>
      </c>
      <c r="T43" s="15" t="n">
        <v>221.985696</v>
      </c>
      <c r="U43" s="15" t="n">
        <v>223.68921</v>
      </c>
      <c r="V43" s="15" t="n">
        <v>225.170197</v>
      </c>
      <c r="W43" s="15" t="n">
        <v>227.20659</v>
      </c>
      <c r="X43" s="15" t="n">
        <v>228.371788</v>
      </c>
      <c r="Y43" s="15" t="n">
        <v>228.467836</v>
      </c>
      <c r="Z43" s="15" t="n">
        <v>226.09731867</v>
      </c>
      <c r="AA43" s="16" t="n">
        <f aca="false">Z43/Q43-1</f>
        <v>0.0191111785187854</v>
      </c>
      <c r="AB43" s="16" t="n">
        <v>0.0673</v>
      </c>
      <c r="AC43" s="16" t="n">
        <v>0.0722</v>
      </c>
      <c r="AD43" s="16" t="n">
        <v>0.0917</v>
      </c>
      <c r="AE43" s="16" t="n">
        <v>0.0023</v>
      </c>
      <c r="AF43" s="16" t="n">
        <v>-0.0343</v>
      </c>
      <c r="AG43" s="17" t="n">
        <v>859777580.78</v>
      </c>
      <c r="AH43" s="18" t="n">
        <f aca="false">IFERROR(AVERAGE($AB43:$AF43),"")</f>
        <v>0.03984</v>
      </c>
      <c r="AI43" s="18" t="n">
        <f aca="false">IFERROR(_xlfn.STDEV.P($AB43:$AF43),"")</f>
        <v>0.0477423753074771</v>
      </c>
    </row>
    <row r="44" customFormat="false" ht="14.25" hidden="false" customHeight="true" outlineLevel="0" collapsed="false">
      <c r="A44" s="11" t="s">
        <v>101</v>
      </c>
      <c r="B44" s="12" t="s">
        <v>87</v>
      </c>
      <c r="C44" s="11" t="s">
        <v>18</v>
      </c>
      <c r="D44" s="11" t="s">
        <v>44</v>
      </c>
      <c r="E44" s="11" t="s">
        <v>45</v>
      </c>
      <c r="F44" s="11" t="s">
        <v>21</v>
      </c>
      <c r="G44" s="11" t="s">
        <v>22</v>
      </c>
      <c r="H44" s="11" t="s">
        <v>23</v>
      </c>
      <c r="I44" s="11" t="s">
        <v>24</v>
      </c>
      <c r="J44" s="11" t="s">
        <v>31</v>
      </c>
      <c r="K44" s="13" t="n">
        <v>0.0105</v>
      </c>
      <c r="L44" s="14" t="n">
        <v>41680</v>
      </c>
      <c r="M44" s="15" t="n">
        <v>159.740843</v>
      </c>
      <c r="N44" s="15" t="n">
        <v>160.295432</v>
      </c>
      <c r="O44" s="15" t="n">
        <v>160.689354</v>
      </c>
      <c r="P44" s="15" t="n">
        <v>161.284634</v>
      </c>
      <c r="Q44" s="15" t="n">
        <v>161.838584</v>
      </c>
      <c r="R44" s="15" t="n">
        <v>162.528186</v>
      </c>
      <c r="S44" s="15" t="n">
        <v>163.042809</v>
      </c>
      <c r="T44" s="15" t="n">
        <v>162.996233</v>
      </c>
      <c r="U44" s="15" t="n">
        <v>163.721102</v>
      </c>
      <c r="V44" s="15" t="n">
        <v>164.392877</v>
      </c>
      <c r="W44" s="15" t="n">
        <v>165.161753</v>
      </c>
      <c r="X44" s="15" t="n">
        <v>165.672081</v>
      </c>
      <c r="Y44" s="15" t="n">
        <v>166.326316</v>
      </c>
      <c r="Z44" s="15" t="n">
        <v>166.12638113</v>
      </c>
      <c r="AA44" s="16" t="n">
        <f aca="false">Z44/Q44-1</f>
        <v>0.0264942822905569</v>
      </c>
      <c r="AB44" s="16" t="n">
        <v>0.047</v>
      </c>
      <c r="AC44" s="16" t="n">
        <v>0.0602</v>
      </c>
      <c r="AD44" s="16" t="n">
        <v>0.0754</v>
      </c>
      <c r="AE44" s="16" t="n">
        <v>0.0329</v>
      </c>
      <c r="AF44" s="16" t="n">
        <v>-0.0076</v>
      </c>
      <c r="AG44" s="17" t="n">
        <v>1300155400.52</v>
      </c>
      <c r="AH44" s="18" t="n">
        <f aca="false">IFERROR(AVERAGE($AB44:$AF44),"")</f>
        <v>0.04158</v>
      </c>
      <c r="AI44" s="18" t="n">
        <f aca="false">IFERROR(_xlfn.STDEV.P($AB44:$AF44),"")</f>
        <v>0.0283333301960783</v>
      </c>
    </row>
    <row r="45" customFormat="false" ht="14.25" hidden="false" customHeight="true" outlineLevel="0" collapsed="false">
      <c r="A45" s="11" t="s">
        <v>102</v>
      </c>
      <c r="B45" s="12" t="s">
        <v>87</v>
      </c>
      <c r="C45" s="11" t="s">
        <v>27</v>
      </c>
      <c r="D45" s="11" t="s">
        <v>44</v>
      </c>
      <c r="E45" s="11" t="s">
        <v>45</v>
      </c>
      <c r="F45" s="11" t="s">
        <v>21</v>
      </c>
      <c r="G45" s="11" t="s">
        <v>28</v>
      </c>
      <c r="H45" s="11" t="s">
        <v>37</v>
      </c>
      <c r="I45" s="11" t="s">
        <v>38</v>
      </c>
      <c r="J45" s="11" t="s">
        <v>39</v>
      </c>
      <c r="K45" s="13" t="n">
        <v>0.0085</v>
      </c>
      <c r="L45" s="14" t="n">
        <v>44875</v>
      </c>
      <c r="M45" s="15" t="n">
        <v>118.147656</v>
      </c>
      <c r="N45" s="15" t="n">
        <v>119.168127</v>
      </c>
      <c r="O45" s="15" t="n">
        <v>119.999304</v>
      </c>
      <c r="P45" s="15" t="n">
        <v>120.340635</v>
      </c>
      <c r="Q45" s="15" t="n">
        <v>120.607587</v>
      </c>
      <c r="R45" s="15" t="n">
        <v>121.357488</v>
      </c>
      <c r="S45" s="15" t="n">
        <v>122.409006</v>
      </c>
      <c r="T45" s="15" t="n">
        <v>119.10239</v>
      </c>
      <c r="U45" s="15" t="n">
        <v>120.391055</v>
      </c>
      <c r="V45" s="15" t="n">
        <v>121.347023</v>
      </c>
      <c r="W45" s="15" t="n">
        <v>121.977797</v>
      </c>
      <c r="X45" s="15" t="n">
        <v>121.059195</v>
      </c>
      <c r="Y45" s="15" t="n">
        <v>121.403948</v>
      </c>
      <c r="Z45" s="15" t="n">
        <v>118.679723</v>
      </c>
      <c r="AA45" s="16" t="n">
        <f aca="false">Z45/Q45-1</f>
        <v>-0.0159845997084744</v>
      </c>
      <c r="AB45" s="16" t="n">
        <v>0.0736</v>
      </c>
      <c r="AC45" s="16" t="n">
        <v>0.0376</v>
      </c>
      <c r="AD45" s="16" t="n">
        <v>0.0635</v>
      </c>
      <c r="AE45" s="16" t="n">
        <v>0.0124</v>
      </c>
      <c r="AF45" s="16"/>
      <c r="AG45" s="17" t="n">
        <v>287735800.72</v>
      </c>
      <c r="AH45" s="18" t="n">
        <f aca="false">IFERROR(AVERAGE($AB45:$AF45),"")</f>
        <v>0.046775</v>
      </c>
      <c r="AI45" s="18" t="n">
        <f aca="false">IFERROR(_xlfn.STDEV.P($AB45:$AF45),"")</f>
        <v>0.0237966778143505</v>
      </c>
    </row>
    <row r="46" customFormat="false" ht="14.25" hidden="false" customHeight="true" outlineLevel="0" collapsed="false">
      <c r="A46" s="11" t="s">
        <v>103</v>
      </c>
      <c r="B46" s="12" t="s">
        <v>87</v>
      </c>
      <c r="C46" s="11" t="s">
        <v>27</v>
      </c>
      <c r="D46" s="11" t="s">
        <v>60</v>
      </c>
      <c r="E46" s="11" t="s">
        <v>61</v>
      </c>
      <c r="F46" s="11" t="s">
        <v>62</v>
      </c>
      <c r="G46" s="11" t="s">
        <v>28</v>
      </c>
      <c r="H46" s="11" t="s">
        <v>37</v>
      </c>
      <c r="I46" s="11" t="s">
        <v>38</v>
      </c>
      <c r="J46" s="11" t="s">
        <v>39</v>
      </c>
      <c r="K46" s="13" t="n">
        <v>0.01</v>
      </c>
      <c r="L46" s="14" t="n">
        <v>43083</v>
      </c>
      <c r="M46" s="15" t="n">
        <v>183.548002</v>
      </c>
      <c r="N46" s="15" t="n">
        <v>185.636502</v>
      </c>
      <c r="O46" s="15" t="n">
        <v>188.19399</v>
      </c>
      <c r="P46" s="15" t="n">
        <v>186.09254</v>
      </c>
      <c r="Q46" s="15" t="n">
        <v>188.407613</v>
      </c>
      <c r="R46" s="15" t="n">
        <v>191.747339</v>
      </c>
      <c r="S46" s="15" t="n">
        <v>188.878905</v>
      </c>
      <c r="T46" s="15" t="n">
        <v>177.512095</v>
      </c>
      <c r="U46" s="15" t="n">
        <v>192.331242</v>
      </c>
      <c r="V46" s="15" t="n">
        <v>196.324702</v>
      </c>
      <c r="W46" s="15" t="n">
        <v>192.224535</v>
      </c>
      <c r="X46" s="15" t="n">
        <v>197.142482</v>
      </c>
      <c r="Y46" s="15" t="n">
        <v>201.08789</v>
      </c>
      <c r="Z46" s="15" t="n">
        <v>198.861988</v>
      </c>
      <c r="AA46" s="16" t="n">
        <f aca="false">Z46/Q46-1</f>
        <v>0.0554880709623979</v>
      </c>
      <c r="AB46" s="16" t="n">
        <v>0.1236</v>
      </c>
      <c r="AC46" s="16" t="n">
        <v>0.0764</v>
      </c>
      <c r="AD46" s="16" t="n">
        <v>0.144</v>
      </c>
      <c r="AE46" s="16" t="n">
        <v>-0.1717</v>
      </c>
      <c r="AF46" s="16" t="n">
        <v>0.1929</v>
      </c>
      <c r="AG46" s="17" t="n">
        <v>167030627.92</v>
      </c>
      <c r="AH46" s="18" t="n">
        <f aca="false">IFERROR(AVERAGE($AB46:$AF46),"")</f>
        <v>0.07304</v>
      </c>
      <c r="AI46" s="18" t="n">
        <f aca="false">IFERROR(_xlfn.STDEV.P($AB46:$AF46),"")</f>
        <v>0.127958596428689</v>
      </c>
    </row>
    <row r="47" customFormat="false" ht="14.25" hidden="false" customHeight="true" outlineLevel="0" collapsed="false">
      <c r="A47" s="11" t="s">
        <v>104</v>
      </c>
      <c r="B47" s="12" t="s">
        <v>87</v>
      </c>
      <c r="C47" s="11" t="s">
        <v>27</v>
      </c>
      <c r="D47" s="11" t="s">
        <v>44</v>
      </c>
      <c r="E47" s="11" t="s">
        <v>45</v>
      </c>
      <c r="F47" s="11" t="s">
        <v>21</v>
      </c>
      <c r="G47" s="11" t="s">
        <v>22</v>
      </c>
      <c r="H47" s="11" t="s">
        <v>23</v>
      </c>
      <c r="I47" s="11" t="s">
        <v>24</v>
      </c>
      <c r="J47" s="11" t="s">
        <v>31</v>
      </c>
      <c r="K47" s="13" t="n">
        <v>0.0076</v>
      </c>
      <c r="L47" s="14" t="n">
        <v>41688</v>
      </c>
      <c r="M47" s="15" t="n">
        <v>130.063629</v>
      </c>
      <c r="N47" s="15" t="n">
        <v>130.558628</v>
      </c>
      <c r="O47" s="15" t="n">
        <v>130.897135</v>
      </c>
      <c r="P47" s="15" t="n">
        <v>131.276933</v>
      </c>
      <c r="Q47" s="15" t="n">
        <v>131.732636</v>
      </c>
      <c r="R47" s="15" t="n">
        <v>132.100512</v>
      </c>
      <c r="S47" s="15" t="n">
        <v>132.568948</v>
      </c>
      <c r="T47" s="15" t="n">
        <v>132.58229</v>
      </c>
      <c r="U47" s="15" t="n">
        <v>133.076019</v>
      </c>
      <c r="V47" s="15" t="n">
        <v>133.28971</v>
      </c>
      <c r="W47" s="15" t="n">
        <v>133.628129</v>
      </c>
      <c r="X47" s="15" t="n">
        <v>133.947491</v>
      </c>
      <c r="Y47" s="15" t="n">
        <v>134.425414</v>
      </c>
      <c r="Z47" s="15" t="n">
        <v>134.126041</v>
      </c>
      <c r="AA47" s="16" t="n">
        <f aca="false">Z47/Q47-1</f>
        <v>0.018168656398859</v>
      </c>
      <c r="AB47" s="16" t="n">
        <v>0.0473</v>
      </c>
      <c r="AC47" s="16" t="n">
        <v>0.0544</v>
      </c>
      <c r="AD47" s="16" t="n">
        <v>0.0523</v>
      </c>
      <c r="AE47" s="16" t="n">
        <v>0.0145</v>
      </c>
      <c r="AF47" s="16" t="n">
        <v>0.0034</v>
      </c>
      <c r="AG47" s="17" t="n">
        <v>3541168178.33</v>
      </c>
      <c r="AH47" s="18" t="n">
        <f aca="false">IFERROR(AVERAGE($AB47:$AF47),"")</f>
        <v>0.03438</v>
      </c>
      <c r="AI47" s="18" t="n">
        <f aca="false">IFERROR(_xlfn.STDEV.P($AB47:$AF47),"")</f>
        <v>0.0211840883683957</v>
      </c>
    </row>
    <row r="48" customFormat="false" ht="14.25" hidden="false" customHeight="true" outlineLevel="0" collapsed="false">
      <c r="A48" s="11" t="s">
        <v>105</v>
      </c>
      <c r="B48" s="12" t="s">
        <v>87</v>
      </c>
      <c r="C48" s="11" t="s">
        <v>27</v>
      </c>
      <c r="D48" s="11" t="s">
        <v>44</v>
      </c>
      <c r="E48" s="11" t="s">
        <v>45</v>
      </c>
      <c r="F48" s="11" t="s">
        <v>21</v>
      </c>
      <c r="G48" s="11" t="s">
        <v>22</v>
      </c>
      <c r="H48" s="11" t="s">
        <v>37</v>
      </c>
      <c r="I48" s="11" t="s">
        <v>38</v>
      </c>
      <c r="J48" s="11" t="s">
        <v>39</v>
      </c>
      <c r="K48" s="13" t="n">
        <v>0.0072</v>
      </c>
      <c r="L48" s="14" t="n">
        <v>45422</v>
      </c>
      <c r="M48" s="15" t="n">
        <v>107.435329</v>
      </c>
      <c r="N48" s="15" t="n">
        <v>107.901341</v>
      </c>
      <c r="O48" s="15" t="n">
        <v>108.199409</v>
      </c>
      <c r="P48" s="15" t="n">
        <v>108.471561</v>
      </c>
      <c r="Q48" s="15" t="n">
        <v>108.871635</v>
      </c>
      <c r="R48" s="15" t="n">
        <v>109.274884</v>
      </c>
      <c r="S48" s="15" t="n">
        <v>109.513578</v>
      </c>
      <c r="T48" s="15" t="n">
        <v>109.365157</v>
      </c>
      <c r="U48" s="15" t="n">
        <v>109.862635</v>
      </c>
      <c r="V48" s="15" t="n">
        <v>110.04192</v>
      </c>
      <c r="W48" s="15" t="n">
        <v>110.336726</v>
      </c>
      <c r="X48" s="15" t="n">
        <v>110.563777</v>
      </c>
      <c r="Y48" s="15" t="n">
        <v>110.947008</v>
      </c>
      <c r="Z48" s="15" t="n">
        <v>110.715978</v>
      </c>
      <c r="AA48" s="16" t="n">
        <f aca="false">Z48/Q48-1</f>
        <v>0.0169405281733852</v>
      </c>
      <c r="AB48" s="16" t="n">
        <v>0.0501</v>
      </c>
      <c r="AC48" s="16" t="n">
        <v>0.0327</v>
      </c>
      <c r="AD48" s="16"/>
      <c r="AE48" s="16"/>
      <c r="AF48" s="16"/>
      <c r="AG48" s="17" t="n">
        <v>1342783287.06</v>
      </c>
      <c r="AH48" s="18" t="n">
        <f aca="false">IFERROR(AVERAGE($AB48:$AF48),"")</f>
        <v>0.0414</v>
      </c>
      <c r="AI48" s="18" t="n">
        <f aca="false">IFERROR(_xlfn.STDEV.P($AB48:$AF48),"")</f>
        <v>0.0087</v>
      </c>
    </row>
    <row r="49" customFormat="false" ht="14.25" hidden="false" customHeight="true" outlineLevel="0" collapsed="false">
      <c r="A49" s="11" t="s">
        <v>106</v>
      </c>
      <c r="B49" s="12" t="s">
        <v>87</v>
      </c>
      <c r="C49" s="11" t="s">
        <v>27</v>
      </c>
      <c r="D49" s="11" t="s">
        <v>44</v>
      </c>
      <c r="E49" s="11" t="s">
        <v>45</v>
      </c>
      <c r="F49" s="11" t="s">
        <v>55</v>
      </c>
      <c r="G49" s="11" t="s">
        <v>22</v>
      </c>
      <c r="H49" s="11" t="s">
        <v>37</v>
      </c>
      <c r="I49" s="11" t="s">
        <v>24</v>
      </c>
      <c r="J49" s="11" t="s">
        <v>107</v>
      </c>
      <c r="K49" s="13" t="n">
        <v>0.007</v>
      </c>
      <c r="L49" s="14" t="n">
        <v>43489</v>
      </c>
      <c r="M49" s="15" t="n">
        <v>133.64243</v>
      </c>
      <c r="N49" s="15" t="n">
        <v>135.005587</v>
      </c>
      <c r="O49" s="15" t="n">
        <v>135.101637</v>
      </c>
      <c r="P49" s="15" t="n">
        <v>135.224228</v>
      </c>
      <c r="Q49" s="15" t="n">
        <v>136.41856</v>
      </c>
      <c r="R49" s="15" t="n">
        <v>137.416086</v>
      </c>
      <c r="S49" s="15" t="n">
        <v>137.661221</v>
      </c>
      <c r="T49" s="15" t="n">
        <v>135.179789</v>
      </c>
      <c r="U49" s="15" t="n">
        <v>138.216633</v>
      </c>
      <c r="V49" s="15" t="n">
        <v>138.442435</v>
      </c>
      <c r="W49" s="15" t="n">
        <v>139.430239</v>
      </c>
      <c r="X49" s="15" t="n">
        <v>139.107111</v>
      </c>
      <c r="Y49" s="15" t="n">
        <v>140.07652</v>
      </c>
      <c r="Z49" s="15" t="n">
        <v>137.05036</v>
      </c>
      <c r="AA49" s="16" t="n">
        <f aca="false">Z49/Q49-1</f>
        <v>0.00463133462191645</v>
      </c>
      <c r="AB49" s="16" t="n">
        <v>0.0938</v>
      </c>
      <c r="AC49" s="16" t="n">
        <v>0.0958</v>
      </c>
      <c r="AD49" s="16" t="n">
        <v>0.0664</v>
      </c>
      <c r="AE49" s="16" t="n">
        <v>-0.0884</v>
      </c>
      <c r="AF49" s="16" t="n">
        <v>0.0034</v>
      </c>
      <c r="AG49" s="17" t="n">
        <v>251968567.48</v>
      </c>
      <c r="AH49" s="18" t="n">
        <f aca="false">IFERROR(AVERAGE($AB49:$AF49),"")</f>
        <v>0.0342</v>
      </c>
      <c r="AI49" s="18" t="n">
        <f aca="false">IFERROR(_xlfn.STDEV.P($AB49:$AF49),"")</f>
        <v>0.0698039540427331</v>
      </c>
    </row>
    <row r="50" customFormat="false" ht="14.25" hidden="false" customHeight="true" outlineLevel="0" collapsed="false">
      <c r="A50" s="11" t="s">
        <v>108</v>
      </c>
      <c r="B50" s="12" t="s">
        <v>87</v>
      </c>
      <c r="C50" s="11" t="s">
        <v>27</v>
      </c>
      <c r="D50" s="11" t="s">
        <v>44</v>
      </c>
      <c r="E50" s="11" t="s">
        <v>45</v>
      </c>
      <c r="F50" s="11" t="s">
        <v>21</v>
      </c>
      <c r="G50" s="11" t="s">
        <v>22</v>
      </c>
      <c r="H50" s="11" t="s">
        <v>23</v>
      </c>
      <c r="I50" s="11" t="s">
        <v>24</v>
      </c>
      <c r="J50" s="11" t="s">
        <v>39</v>
      </c>
      <c r="K50" s="13" t="n">
        <v>0.01</v>
      </c>
      <c r="L50" s="14" t="n">
        <v>42796</v>
      </c>
      <c r="M50" s="15" t="n">
        <v>132.53438</v>
      </c>
      <c r="N50" s="15" t="n">
        <v>133.154054</v>
      </c>
      <c r="O50" s="15" t="n">
        <v>132.855638</v>
      </c>
      <c r="P50" s="15" t="n">
        <v>132.911802</v>
      </c>
      <c r="Q50" s="15" t="n">
        <v>132.955718</v>
      </c>
      <c r="R50" s="15" t="n">
        <v>132.753368</v>
      </c>
      <c r="S50" s="15" t="n">
        <v>131.690284</v>
      </c>
      <c r="T50" s="15" t="n">
        <v>131.728087</v>
      </c>
      <c r="U50" s="15" t="n">
        <v>133.174325</v>
      </c>
      <c r="V50" s="15" t="n">
        <v>132.797287</v>
      </c>
      <c r="W50" s="15" t="n">
        <v>133.134778</v>
      </c>
      <c r="X50" s="15" t="n">
        <v>134.324861</v>
      </c>
      <c r="Y50" s="15" t="n">
        <v>134.784929</v>
      </c>
      <c r="Z50" s="15" t="n">
        <v>134.903901</v>
      </c>
      <c r="AA50" s="16" t="n">
        <f aca="false">Z50/Q50-1</f>
        <v>0.0146528711160809</v>
      </c>
      <c r="AB50" s="16" t="n">
        <v>0.0314</v>
      </c>
      <c r="AC50" s="16" t="n">
        <v>0.0616</v>
      </c>
      <c r="AD50" s="16" t="n">
        <v>0.1029</v>
      </c>
      <c r="AE50" s="16" t="n">
        <v>-0.0382</v>
      </c>
      <c r="AF50" s="16" t="n">
        <v>0.0616</v>
      </c>
      <c r="AG50" s="17" t="n">
        <v>46096307.18</v>
      </c>
      <c r="AH50" s="18" t="n">
        <f aca="false">IFERROR(AVERAGE($AB50:$AF50),"")</f>
        <v>0.04386</v>
      </c>
      <c r="AI50" s="18" t="n">
        <f aca="false">IFERROR(_xlfn.STDEV.P($AB50:$AF50),"")</f>
        <v>0.0469131793849021</v>
      </c>
    </row>
    <row r="51" customFormat="false" ht="14.25" hidden="false" customHeight="true" outlineLevel="0" collapsed="false">
      <c r="A51" s="11" t="s">
        <v>109</v>
      </c>
      <c r="B51" s="12" t="s">
        <v>87</v>
      </c>
      <c r="C51" s="11" t="s">
        <v>27</v>
      </c>
      <c r="D51" s="11" t="s">
        <v>44</v>
      </c>
      <c r="E51" s="11" t="s">
        <v>45</v>
      </c>
      <c r="F51" s="11" t="s">
        <v>21</v>
      </c>
      <c r="G51" s="11" t="s">
        <v>22</v>
      </c>
      <c r="H51" s="11" t="s">
        <v>37</v>
      </c>
      <c r="I51" s="11" t="s">
        <v>38</v>
      </c>
      <c r="J51" s="11" t="s">
        <v>39</v>
      </c>
      <c r="K51" s="13" t="n">
        <v>0.0115</v>
      </c>
      <c r="L51" s="14" t="n">
        <v>41128</v>
      </c>
      <c r="M51" s="15" t="n">
        <v>147.116846</v>
      </c>
      <c r="N51" s="15" t="n">
        <v>148.561687</v>
      </c>
      <c r="O51" s="15" t="n">
        <v>148.58533</v>
      </c>
      <c r="P51" s="15" t="n">
        <v>148.657702</v>
      </c>
      <c r="Q51" s="15" t="n">
        <v>149.892147</v>
      </c>
      <c r="R51" s="15" t="n">
        <v>150.918546</v>
      </c>
      <c r="S51" s="15" t="n">
        <v>151.199217</v>
      </c>
      <c r="T51" s="15" t="n">
        <v>148.369762</v>
      </c>
      <c r="U51" s="15" t="n">
        <v>151.646851</v>
      </c>
      <c r="V51" s="15" t="n">
        <v>151.800042</v>
      </c>
      <c r="W51" s="15" t="n">
        <v>152.80633</v>
      </c>
      <c r="X51" s="15" t="n">
        <v>152.383776</v>
      </c>
      <c r="Y51" s="15" t="n">
        <v>153.379296</v>
      </c>
      <c r="Z51" s="15" t="n">
        <v>149.994945</v>
      </c>
      <c r="AA51" s="16" t="n">
        <f aca="false">Z51/Q51-1</f>
        <v>0.000685813113344702</v>
      </c>
      <c r="AB51" s="16" t="n">
        <v>0.0508</v>
      </c>
      <c r="AC51" s="16" t="n">
        <v>0.0361</v>
      </c>
      <c r="AD51" s="16" t="n">
        <v>0.0594</v>
      </c>
      <c r="AE51" s="16" t="n">
        <v>-0.0928</v>
      </c>
      <c r="AF51" s="16" t="n">
        <v>-0.0013</v>
      </c>
      <c r="AG51" s="17" t="n">
        <v>213013583.45</v>
      </c>
      <c r="AH51" s="18" t="n">
        <f aca="false">IFERROR(AVERAGE($AB51:$AF51),"")</f>
        <v>0.01044</v>
      </c>
      <c r="AI51" s="18" t="n">
        <f aca="false">IFERROR(_xlfn.STDEV.P($AB51:$AF51),"")</f>
        <v>0.0556430984040249</v>
      </c>
    </row>
    <row r="52" customFormat="false" ht="14.25" hidden="false" customHeight="true" outlineLevel="0" collapsed="false">
      <c r="A52" s="11" t="s">
        <v>110</v>
      </c>
      <c r="B52" s="12" t="s">
        <v>87</v>
      </c>
      <c r="C52" s="11" t="s">
        <v>27</v>
      </c>
      <c r="D52" s="11" t="s">
        <v>44</v>
      </c>
      <c r="E52" s="11" t="s">
        <v>45</v>
      </c>
      <c r="F52" s="11" t="s">
        <v>21</v>
      </c>
      <c r="G52" s="11" t="s">
        <v>22</v>
      </c>
      <c r="H52" s="11" t="s">
        <v>37</v>
      </c>
      <c r="I52" s="11" t="s">
        <v>24</v>
      </c>
      <c r="J52" s="11" t="s">
        <v>47</v>
      </c>
      <c r="K52" s="13" t="n">
        <v>0.014</v>
      </c>
      <c r="L52" s="14" t="n">
        <v>35150</v>
      </c>
      <c r="M52" s="15" t="n">
        <v>281.875803</v>
      </c>
      <c r="N52" s="15" t="n">
        <v>283.187616</v>
      </c>
      <c r="O52" s="15" t="n">
        <v>283.492918</v>
      </c>
      <c r="P52" s="15" t="n">
        <v>284.121798</v>
      </c>
      <c r="Q52" s="15" t="n">
        <v>284.982795</v>
      </c>
      <c r="R52" s="15" t="n">
        <v>285.553528</v>
      </c>
      <c r="S52" s="15" t="n">
        <v>285.090904</v>
      </c>
      <c r="T52" s="15" t="n">
        <v>283.01212</v>
      </c>
      <c r="U52" s="15" t="n">
        <v>285.656297</v>
      </c>
      <c r="V52" s="15" t="n">
        <v>285.774499</v>
      </c>
      <c r="W52" s="15" t="n">
        <v>286.599615</v>
      </c>
      <c r="X52" s="15" t="n">
        <v>286.257518</v>
      </c>
      <c r="Y52" s="15" t="n">
        <v>287.303893</v>
      </c>
      <c r="Z52" s="15" t="n">
        <v>284.098168</v>
      </c>
      <c r="AA52" s="16" t="n">
        <f aca="false">Z52/Q52-1</f>
        <v>-0.00310414177810281</v>
      </c>
      <c r="AB52" s="16" t="n">
        <v>0.0537</v>
      </c>
      <c r="AC52" s="16" t="n">
        <v>0.0567</v>
      </c>
      <c r="AD52" s="16" t="n">
        <v>0.0603</v>
      </c>
      <c r="AE52" s="16" t="n">
        <v>-0.036</v>
      </c>
      <c r="AF52" s="16" t="n">
        <v>-0.0063</v>
      </c>
      <c r="AG52" s="17" t="n">
        <v>890645927.5</v>
      </c>
      <c r="AH52" s="18" t="n">
        <f aca="false">IFERROR(AVERAGE($AB52:$AF52),"")</f>
        <v>0.02568</v>
      </c>
      <c r="AI52" s="18" t="n">
        <f aca="false">IFERROR(_xlfn.STDEV.P($AB52:$AF52),"")</f>
        <v>0.0394285378881845</v>
      </c>
    </row>
    <row r="53" customFormat="false" ht="14.25" hidden="false" customHeight="true" outlineLevel="0" collapsed="false">
      <c r="A53" s="11" t="s">
        <v>111</v>
      </c>
      <c r="B53" s="12" t="s">
        <v>87</v>
      </c>
      <c r="C53" s="11" t="s">
        <v>27</v>
      </c>
      <c r="D53" s="11" t="s">
        <v>44</v>
      </c>
      <c r="E53" s="11" t="s">
        <v>45</v>
      </c>
      <c r="F53" s="11" t="s">
        <v>21</v>
      </c>
      <c r="G53" s="11" t="s">
        <v>22</v>
      </c>
      <c r="H53" s="11" t="s">
        <v>37</v>
      </c>
      <c r="I53" s="11" t="s">
        <v>38</v>
      </c>
      <c r="J53" s="11" t="s">
        <v>39</v>
      </c>
      <c r="K53" s="13" t="n">
        <v>0.0072</v>
      </c>
      <c r="L53" s="14" t="n">
        <v>43509</v>
      </c>
      <c r="M53" s="15" t="n">
        <v>124.242409</v>
      </c>
      <c r="N53" s="15" t="n">
        <v>125.16244</v>
      </c>
      <c r="O53" s="15" t="n">
        <v>126.54955</v>
      </c>
      <c r="P53" s="15" t="n">
        <v>127.38719</v>
      </c>
      <c r="Q53" s="15" t="n">
        <v>127.853442</v>
      </c>
      <c r="R53" s="15" t="n">
        <v>128.500966</v>
      </c>
      <c r="S53" s="15" t="n">
        <v>129.577952</v>
      </c>
      <c r="T53" s="15" t="n">
        <v>126.128088</v>
      </c>
      <c r="U53" s="15" t="n">
        <v>127.441748</v>
      </c>
      <c r="V53" s="15" t="n">
        <v>128.208357</v>
      </c>
      <c r="W53" s="15" t="n">
        <v>129.41298</v>
      </c>
      <c r="X53" s="15" t="n">
        <v>127.684455</v>
      </c>
      <c r="Y53" s="15" t="n">
        <v>127.959822</v>
      </c>
      <c r="Z53" s="15" t="n">
        <v>123.710529</v>
      </c>
      <c r="AA53" s="16" t="n">
        <f aca="false">Z53/Q53-1</f>
        <v>-0.0324036094390013</v>
      </c>
      <c r="AB53" s="16" t="n">
        <v>0.0922</v>
      </c>
      <c r="AC53" s="16" t="n">
        <v>0.0453</v>
      </c>
      <c r="AD53" s="16" t="n">
        <v>0.0717</v>
      </c>
      <c r="AE53" s="16" t="n">
        <v>-0.0751</v>
      </c>
      <c r="AF53" s="16" t="n">
        <v>0.0158</v>
      </c>
      <c r="AG53" s="17" t="n">
        <v>709688897.57</v>
      </c>
      <c r="AH53" s="18" t="n">
        <f aca="false">IFERROR(AVERAGE($AB53:$AF53),"")</f>
        <v>0.02998</v>
      </c>
      <c r="AI53" s="18" t="n">
        <f aca="false">IFERROR(_xlfn.STDEV.P($AB53:$AF53),"")</f>
        <v>0.0584627539549755</v>
      </c>
    </row>
    <row r="54" customFormat="false" ht="14.25" hidden="false" customHeight="true" outlineLevel="0" collapsed="false">
      <c r="A54" s="11" t="s">
        <v>112</v>
      </c>
      <c r="B54" s="12" t="s">
        <v>87</v>
      </c>
      <c r="C54" s="11" t="s">
        <v>27</v>
      </c>
      <c r="D54" s="11" t="s">
        <v>44</v>
      </c>
      <c r="E54" s="11" t="s">
        <v>45</v>
      </c>
      <c r="F54" s="11" t="s">
        <v>55</v>
      </c>
      <c r="G54" s="11" t="s">
        <v>28</v>
      </c>
      <c r="H54" s="11" t="s">
        <v>37</v>
      </c>
      <c r="I54" s="11" t="s">
        <v>24</v>
      </c>
      <c r="J54" s="11" t="s">
        <v>39</v>
      </c>
      <c r="K54" s="13" t="n">
        <v>0.01</v>
      </c>
      <c r="L54" s="14" t="n">
        <v>42796</v>
      </c>
      <c r="M54" s="15" t="n">
        <v>133.940187</v>
      </c>
      <c r="N54" s="15" t="n">
        <v>134.868561</v>
      </c>
      <c r="O54" s="15" t="n">
        <v>135.112301</v>
      </c>
      <c r="P54" s="15" t="n">
        <v>135.259721</v>
      </c>
      <c r="Q54" s="15" t="n">
        <v>135.993926</v>
      </c>
      <c r="R54" s="15" t="n">
        <v>136.454212</v>
      </c>
      <c r="S54" s="15" t="n">
        <v>136.701379</v>
      </c>
      <c r="T54" s="15" t="n">
        <v>133.798496</v>
      </c>
      <c r="U54" s="15" t="n">
        <v>135.888847</v>
      </c>
      <c r="V54" s="15" t="n">
        <v>136.582754</v>
      </c>
      <c r="W54" s="15" t="n">
        <v>137.353384</v>
      </c>
      <c r="X54" s="15" t="n">
        <v>136.509266</v>
      </c>
      <c r="Y54" s="15" t="n">
        <v>137.380495</v>
      </c>
      <c r="Z54" s="15" t="n">
        <v>134.407917</v>
      </c>
      <c r="AA54" s="16" t="n">
        <f aca="false">Z54/Q54-1</f>
        <v>-0.0116623517435623</v>
      </c>
      <c r="AB54" s="16" t="n">
        <v>0.0502</v>
      </c>
      <c r="AC54" s="16" t="n">
        <v>0.0596</v>
      </c>
      <c r="AD54" s="16" t="n">
        <v>0.1006</v>
      </c>
      <c r="AE54" s="16" t="n">
        <v>-0.0862</v>
      </c>
      <c r="AF54" s="16" t="n">
        <v>0.0227</v>
      </c>
      <c r="AG54" s="17" t="n">
        <v>208006303.9</v>
      </c>
      <c r="AH54" s="18" t="n">
        <f aca="false">IFERROR(AVERAGE($AB54:$AF54),"")</f>
        <v>0.02938</v>
      </c>
      <c r="AI54" s="18" t="n">
        <f aca="false">IFERROR(_xlfn.STDEV.P($AB54:$AF54),"")</f>
        <v>0.0629640659424088</v>
      </c>
    </row>
    <row r="55" customFormat="false" ht="14.25" hidden="false" customHeight="true" outlineLevel="0" collapsed="false">
      <c r="A55" s="11" t="s">
        <v>113</v>
      </c>
      <c r="B55" s="12" t="s">
        <v>87</v>
      </c>
      <c r="C55" s="11" t="s">
        <v>27</v>
      </c>
      <c r="D55" s="11" t="s">
        <v>44</v>
      </c>
      <c r="E55" s="11" t="s">
        <v>45</v>
      </c>
      <c r="F55" s="11" t="s">
        <v>21</v>
      </c>
      <c r="G55" s="11" t="s">
        <v>22</v>
      </c>
      <c r="H55" s="11" t="s">
        <v>23</v>
      </c>
      <c r="I55" s="11" t="s">
        <v>24</v>
      </c>
      <c r="J55" s="11" t="s">
        <v>39</v>
      </c>
      <c r="K55" s="13" t="n">
        <v>0.01</v>
      </c>
      <c r="L55" s="14" t="n">
        <v>43257</v>
      </c>
      <c r="M55" s="15" t="n">
        <v>127.373545</v>
      </c>
      <c r="N55" s="15" t="n">
        <v>128.839682</v>
      </c>
      <c r="O55" s="15" t="n">
        <v>129.363366</v>
      </c>
      <c r="P55" s="15" t="n">
        <v>129.340699</v>
      </c>
      <c r="Q55" s="15" t="n">
        <v>130.028429</v>
      </c>
      <c r="R55" s="15" t="n">
        <v>130.789037</v>
      </c>
      <c r="S55" s="15" t="n">
        <v>131.731196</v>
      </c>
      <c r="T55" s="15" t="n">
        <v>128.106568</v>
      </c>
      <c r="U55" s="15" t="n">
        <v>130.806023</v>
      </c>
      <c r="V55" s="15" t="n">
        <v>131.06435</v>
      </c>
      <c r="W55" s="15" t="n">
        <v>131.460022</v>
      </c>
      <c r="X55" s="15" t="n">
        <v>130.733892</v>
      </c>
      <c r="Y55" s="15" t="n">
        <v>131.116169</v>
      </c>
      <c r="Z55" s="15" t="n">
        <v>128.16714</v>
      </c>
      <c r="AA55" s="16" t="n">
        <f aca="false">Z55/Q55-1</f>
        <v>-0.014314477336337</v>
      </c>
      <c r="AB55" s="16" t="n">
        <v>0.0682</v>
      </c>
      <c r="AC55" s="16" t="n">
        <v>0.0723</v>
      </c>
      <c r="AD55" s="16" t="n">
        <v>0.0709</v>
      </c>
      <c r="AE55" s="16" t="n">
        <v>-0.1028</v>
      </c>
      <c r="AF55" s="16" t="n">
        <v>0.0127</v>
      </c>
      <c r="AG55" s="17" t="n">
        <v>199297676.99</v>
      </c>
      <c r="AH55" s="18" t="n">
        <f aca="false">IFERROR(AVERAGE($AB55:$AF55),"")</f>
        <v>0.02426</v>
      </c>
      <c r="AI55" s="18" t="n">
        <f aca="false">IFERROR(_xlfn.STDEV.P($AB55:$AF55),"")</f>
        <v>0.0673672502036412</v>
      </c>
    </row>
    <row r="56" customFormat="false" ht="14.25" hidden="false" customHeight="true" outlineLevel="0" collapsed="false">
      <c r="A56" s="11" t="s">
        <v>114</v>
      </c>
      <c r="B56" s="12" t="s">
        <v>87</v>
      </c>
      <c r="C56" s="11" t="s">
        <v>27</v>
      </c>
      <c r="D56" s="11" t="s">
        <v>44</v>
      </c>
      <c r="E56" s="11" t="s">
        <v>45</v>
      </c>
      <c r="F56" s="11" t="s">
        <v>21</v>
      </c>
      <c r="G56" s="11" t="s">
        <v>22</v>
      </c>
      <c r="H56" s="11" t="s">
        <v>37</v>
      </c>
      <c r="I56" s="11" t="s">
        <v>24</v>
      </c>
      <c r="J56" s="11" t="s">
        <v>39</v>
      </c>
      <c r="K56" s="13" t="n">
        <v>0.0085</v>
      </c>
      <c r="L56" s="14" t="n">
        <v>43347</v>
      </c>
      <c r="M56" s="15" t="n">
        <v>124.438077</v>
      </c>
      <c r="N56" s="15" t="n">
        <v>126.206226</v>
      </c>
      <c r="O56" s="15" t="n">
        <v>126.334082</v>
      </c>
      <c r="P56" s="15" t="n">
        <v>126.789731</v>
      </c>
      <c r="Q56" s="15" t="n">
        <v>127.025977</v>
      </c>
      <c r="R56" s="15" t="n">
        <v>127.456438</v>
      </c>
      <c r="S56" s="15" t="n">
        <v>128.284136</v>
      </c>
      <c r="T56" s="15" t="n">
        <v>125.029954</v>
      </c>
      <c r="U56" s="15" t="n">
        <v>127.027623</v>
      </c>
      <c r="V56" s="15" t="n">
        <v>126.703125</v>
      </c>
      <c r="W56" s="15" t="n">
        <v>127.514706</v>
      </c>
      <c r="X56" s="15" t="n">
        <v>126.201702</v>
      </c>
      <c r="Y56" s="15" t="n">
        <v>126.758919</v>
      </c>
      <c r="Z56" s="15" t="n">
        <v>123.426437</v>
      </c>
      <c r="AA56" s="16" t="n">
        <f aca="false">Z56/Q56-1</f>
        <v>-0.0283370384941026</v>
      </c>
      <c r="AB56" s="16" t="n">
        <v>0.0911</v>
      </c>
      <c r="AC56" s="16" t="n">
        <v>0.0306</v>
      </c>
      <c r="AD56" s="16" t="n">
        <v>0.0595</v>
      </c>
      <c r="AE56" s="16" t="n">
        <v>-0.1081</v>
      </c>
      <c r="AF56" s="16" t="n">
        <v>-0.0218</v>
      </c>
      <c r="AG56" s="17" t="n">
        <v>225740873.86</v>
      </c>
      <c r="AH56" s="18" t="n">
        <f aca="false">IFERROR(AVERAGE($AB56:$AF56),"")</f>
        <v>0.01026</v>
      </c>
      <c r="AI56" s="18" t="n">
        <f aca="false">IFERROR(_xlfn.STDEV.P($AB56:$AF56),"")</f>
        <v>0.0698717854358968</v>
      </c>
    </row>
    <row r="57" customFormat="false" ht="14.25" hidden="false" customHeight="true" outlineLevel="0" collapsed="false">
      <c r="A57" s="11" t="s">
        <v>115</v>
      </c>
      <c r="B57" s="12" t="s">
        <v>87</v>
      </c>
      <c r="C57" s="11" t="s">
        <v>27</v>
      </c>
      <c r="D57" s="11" t="s">
        <v>44</v>
      </c>
      <c r="E57" s="11" t="s">
        <v>45</v>
      </c>
      <c r="F57" s="11" t="s">
        <v>21</v>
      </c>
      <c r="G57" s="11" t="s">
        <v>22</v>
      </c>
      <c r="H57" s="11" t="s">
        <v>37</v>
      </c>
      <c r="I57" s="11" t="s">
        <v>38</v>
      </c>
      <c r="J57" s="11" t="s">
        <v>39</v>
      </c>
      <c r="K57" s="13" t="n">
        <v>0.007</v>
      </c>
      <c r="L57" s="14" t="n">
        <v>44028</v>
      </c>
      <c r="M57" s="15" t="n">
        <v>107.447918</v>
      </c>
      <c r="N57" s="15" t="n">
        <v>108.618441</v>
      </c>
      <c r="O57" s="15" t="n">
        <v>109.72296</v>
      </c>
      <c r="P57" s="15" t="n">
        <v>109.939339</v>
      </c>
      <c r="Q57" s="15" t="n">
        <v>110.197007</v>
      </c>
      <c r="R57" s="15" t="n">
        <v>111.598309</v>
      </c>
      <c r="S57" s="15" t="n">
        <v>112.757747</v>
      </c>
      <c r="T57" s="15" t="n">
        <v>108.744234</v>
      </c>
      <c r="U57" s="15" t="n">
        <v>110.139961</v>
      </c>
      <c r="V57" s="15" t="n">
        <v>111.659929</v>
      </c>
      <c r="W57" s="15" t="n">
        <v>112.396401</v>
      </c>
      <c r="X57" s="15" t="n">
        <v>111.51714</v>
      </c>
      <c r="Y57" s="15" t="n">
        <v>111.897553</v>
      </c>
      <c r="Z57" s="15" t="n">
        <v>110.012559</v>
      </c>
      <c r="AA57" s="16" t="n">
        <f aca="false">Z57/Q57-1</f>
        <v>-0.00167380226579117</v>
      </c>
      <c r="AB57" s="16" t="n">
        <v>0.0912</v>
      </c>
      <c r="AC57" s="16" t="n">
        <v>0.0243</v>
      </c>
      <c r="AD57" s="16" t="n">
        <v>0.0752</v>
      </c>
      <c r="AE57" s="16" t="n">
        <v>-0.1241</v>
      </c>
      <c r="AF57" s="16" t="n">
        <v>-0.0042</v>
      </c>
      <c r="AG57" s="17" t="n">
        <v>63547247.65</v>
      </c>
      <c r="AH57" s="18" t="n">
        <f aca="false">IFERROR(AVERAGE($AB57:$AF57),"")</f>
        <v>0.01248</v>
      </c>
      <c r="AI57" s="18" t="n">
        <f aca="false">IFERROR(_xlfn.STDEV.P($AB57:$AF57),"")</f>
        <v>0.0764233838559901</v>
      </c>
    </row>
    <row r="58" customFormat="false" ht="14.25" hidden="false" customHeight="true" outlineLevel="0" collapsed="false">
      <c r="A58" s="11" t="s">
        <v>116</v>
      </c>
      <c r="B58" s="12" t="s">
        <v>87</v>
      </c>
      <c r="C58" s="11" t="s">
        <v>27</v>
      </c>
      <c r="D58" s="11" t="s">
        <v>44</v>
      </c>
      <c r="E58" s="11" t="s">
        <v>45</v>
      </c>
      <c r="F58" s="11" t="s">
        <v>21</v>
      </c>
      <c r="G58" s="11" t="s">
        <v>28</v>
      </c>
      <c r="H58" s="11" t="s">
        <v>37</v>
      </c>
      <c r="I58" s="11" t="s">
        <v>24</v>
      </c>
      <c r="J58" s="11" t="s">
        <v>39</v>
      </c>
      <c r="K58" s="13" t="n">
        <v>0.0095</v>
      </c>
      <c r="L58" s="14" t="n">
        <v>41358</v>
      </c>
      <c r="M58" s="15" t="n">
        <v>119.378661</v>
      </c>
      <c r="N58" s="15" t="n">
        <v>120.648906</v>
      </c>
      <c r="O58" s="15" t="n">
        <v>121.389187</v>
      </c>
      <c r="P58" s="15" t="n">
        <v>121.927959</v>
      </c>
      <c r="Q58" s="15" t="n">
        <v>122.179089</v>
      </c>
      <c r="R58" s="15" t="n">
        <v>122.661976</v>
      </c>
      <c r="S58" s="15" t="n">
        <v>123.763333</v>
      </c>
      <c r="T58" s="15" t="n">
        <v>120.774127</v>
      </c>
      <c r="U58" s="15" t="n">
        <v>122.498769</v>
      </c>
      <c r="V58" s="15" t="n">
        <v>123.211142</v>
      </c>
      <c r="W58" s="15" t="n">
        <v>123.779545</v>
      </c>
      <c r="X58" s="15" t="n">
        <v>122.573498</v>
      </c>
      <c r="Y58" s="15" t="n">
        <v>123.308579</v>
      </c>
      <c r="Z58" s="15" t="n">
        <v>119.711366</v>
      </c>
      <c r="AA58" s="16" t="n">
        <f aca="false">Z58/Q58-1</f>
        <v>-0.0201975888034327</v>
      </c>
      <c r="AB58" s="16" t="n">
        <v>0.0713</v>
      </c>
      <c r="AC58" s="16" t="n">
        <v>0.0337</v>
      </c>
      <c r="AD58" s="16" t="n">
        <v>0.0555</v>
      </c>
      <c r="AE58" s="16" t="n">
        <v>-0.1555</v>
      </c>
      <c r="AF58" s="16" t="n">
        <v>-0.0117</v>
      </c>
      <c r="AG58" s="17" t="n">
        <v>28227620.04</v>
      </c>
      <c r="AH58" s="18" t="n">
        <f aca="false">IFERROR(AVERAGE($AB58:$AF58),"")</f>
        <v>-0.00134</v>
      </c>
      <c r="AI58" s="18" t="n">
        <f aca="false">IFERROR(_xlfn.STDEV.P($AB58:$AF58),"")</f>
        <v>0.081985110843372</v>
      </c>
    </row>
    <row r="59" customFormat="false" ht="14.25" hidden="false" customHeight="true" outlineLevel="0" collapsed="false">
      <c r="A59" s="11" t="s">
        <v>117</v>
      </c>
      <c r="B59" s="12" t="s">
        <v>87</v>
      </c>
      <c r="C59" s="11" t="s">
        <v>18</v>
      </c>
      <c r="D59" s="11" t="s">
        <v>35</v>
      </c>
      <c r="E59" s="11" t="s">
        <v>36</v>
      </c>
      <c r="F59" s="11" t="s">
        <v>36</v>
      </c>
      <c r="G59" s="11" t="s">
        <v>28</v>
      </c>
      <c r="H59" s="11" t="s">
        <v>37</v>
      </c>
      <c r="I59" s="11" t="s">
        <v>24</v>
      </c>
      <c r="J59" s="11" t="s">
        <v>118</v>
      </c>
      <c r="K59" s="13" t="n">
        <v>0.0325</v>
      </c>
      <c r="L59" s="14" t="n">
        <v>39618</v>
      </c>
      <c r="M59" s="15" t="n">
        <v>173.889733</v>
      </c>
      <c r="N59" s="15" t="n">
        <v>181.020084</v>
      </c>
      <c r="O59" s="15" t="n">
        <v>181.102909</v>
      </c>
      <c r="P59" s="15" t="n">
        <v>181.024407</v>
      </c>
      <c r="Q59" s="15" t="n">
        <v>195.086491</v>
      </c>
      <c r="R59" s="15" t="n">
        <v>217.420894</v>
      </c>
      <c r="S59" s="15" t="n">
        <v>225.873431</v>
      </c>
      <c r="T59" s="15" t="n">
        <v>212.429559</v>
      </c>
      <c r="U59" s="15" t="n">
        <v>208.121089</v>
      </c>
      <c r="V59" s="15" t="n">
        <v>219.976285</v>
      </c>
      <c r="W59" s="15" t="n">
        <v>226.718435</v>
      </c>
      <c r="X59" s="15" t="n">
        <v>231.064412</v>
      </c>
      <c r="Y59" s="15" t="n">
        <v>233.734424</v>
      </c>
      <c r="Z59" s="15" t="n">
        <v>232.88810723</v>
      </c>
      <c r="AA59" s="16" t="n">
        <f aca="false">Z59/Q59-1</f>
        <v>0.193768497430199</v>
      </c>
      <c r="AB59" s="16" t="n">
        <v>0.2258</v>
      </c>
      <c r="AC59" s="16" t="n">
        <v>0.0853</v>
      </c>
      <c r="AD59" s="16" t="n">
        <v>0.1561</v>
      </c>
      <c r="AE59" s="16" t="n">
        <v>-0.007</v>
      </c>
      <c r="AF59" s="16" t="n">
        <v>0.0144</v>
      </c>
      <c r="AG59" s="17" t="n">
        <v>134012837.08</v>
      </c>
      <c r="AH59" s="18" t="n">
        <f aca="false">IFERROR(AVERAGE($AB59:$AF59),"")</f>
        <v>0.09492</v>
      </c>
      <c r="AI59" s="18" t="n">
        <f aca="false">IFERROR(_xlfn.STDEV.P($AB59:$AF59),"")</f>
        <v>0.0869899626393758</v>
      </c>
    </row>
    <row r="60" customFormat="false" ht="14.25" hidden="false" customHeight="true" outlineLevel="0" collapsed="false">
      <c r="A60" s="11" t="s">
        <v>119</v>
      </c>
      <c r="B60" s="12" t="s">
        <v>87</v>
      </c>
      <c r="C60" s="11" t="s">
        <v>27</v>
      </c>
      <c r="D60" s="11" t="s">
        <v>35</v>
      </c>
      <c r="E60" s="11" t="s">
        <v>36</v>
      </c>
      <c r="F60" s="11" t="s">
        <v>36</v>
      </c>
      <c r="G60" s="11" t="s">
        <v>22</v>
      </c>
      <c r="H60" s="11" t="s">
        <v>46</v>
      </c>
      <c r="I60" s="11" t="s">
        <v>24</v>
      </c>
      <c r="J60" s="11" t="s">
        <v>120</v>
      </c>
      <c r="K60" s="13" t="n">
        <v>0.03</v>
      </c>
      <c r="L60" s="14" t="n">
        <v>39150</v>
      </c>
      <c r="M60" s="15" t="n">
        <v>156.458981</v>
      </c>
      <c r="N60" s="15" t="n">
        <v>161.342579</v>
      </c>
      <c r="O60" s="15" t="n">
        <v>163.123791</v>
      </c>
      <c r="P60" s="15" t="n">
        <v>163.298324</v>
      </c>
      <c r="Q60" s="15" t="n">
        <v>171.405869</v>
      </c>
      <c r="R60" s="15" t="n">
        <v>184.256066</v>
      </c>
      <c r="S60" s="15" t="n">
        <v>189.285906</v>
      </c>
      <c r="T60" s="15" t="n">
        <v>181.50492</v>
      </c>
      <c r="U60" s="15" t="n">
        <v>179.555463</v>
      </c>
      <c r="V60" s="15" t="n">
        <v>186.986986</v>
      </c>
      <c r="W60" s="15" t="n">
        <v>190.886532</v>
      </c>
      <c r="X60" s="15" t="n">
        <v>193.228506</v>
      </c>
      <c r="Y60" s="15" t="n">
        <v>195.452568</v>
      </c>
      <c r="Z60" s="15" t="n">
        <v>193.993864</v>
      </c>
      <c r="AA60" s="16" t="n">
        <f aca="false">Z60/Q60-1</f>
        <v>0.131780756002001</v>
      </c>
      <c r="AB60" s="16" t="n">
        <v>0.1932</v>
      </c>
      <c r="AC60" s="16" t="n">
        <v>0.0567</v>
      </c>
      <c r="AD60" s="16" t="n">
        <v>0.1281</v>
      </c>
      <c r="AE60" s="16" t="n">
        <v>-0.0036</v>
      </c>
      <c r="AF60" s="16" t="n">
        <v>-0.0317</v>
      </c>
      <c r="AG60" s="17" t="n">
        <v>81638370.19</v>
      </c>
      <c r="AH60" s="18" t="n">
        <f aca="false">IFERROR(AVERAGE($AB60:$AF60),"")</f>
        <v>0.06854</v>
      </c>
      <c r="AI60" s="18" t="n">
        <f aca="false">IFERROR(_xlfn.STDEV.P($AB60:$AF60),"")</f>
        <v>0.0830420760819478</v>
      </c>
    </row>
    <row r="61" customFormat="false" ht="14.25" hidden="false" customHeight="true" outlineLevel="0" collapsed="false">
      <c r="A61" s="11" t="s">
        <v>121</v>
      </c>
      <c r="B61" s="12" t="s">
        <v>87</v>
      </c>
      <c r="C61" s="11" t="s">
        <v>18</v>
      </c>
      <c r="D61" s="11" t="s">
        <v>35</v>
      </c>
      <c r="E61" s="11" t="s">
        <v>36</v>
      </c>
      <c r="F61" s="11" t="s">
        <v>36</v>
      </c>
      <c r="G61" s="11" t="s">
        <v>28</v>
      </c>
      <c r="H61" s="11" t="s">
        <v>46</v>
      </c>
      <c r="I61" s="11" t="s">
        <v>24</v>
      </c>
      <c r="J61" s="11" t="s">
        <v>122</v>
      </c>
      <c r="K61" s="13" t="n">
        <v>0.0275</v>
      </c>
      <c r="L61" s="14" t="n">
        <v>39615</v>
      </c>
      <c r="M61" s="15" t="n">
        <v>167.253996</v>
      </c>
      <c r="N61" s="15" t="n">
        <v>170.174666</v>
      </c>
      <c r="O61" s="15" t="n">
        <v>170.166384</v>
      </c>
      <c r="P61" s="15" t="n">
        <v>170.996441</v>
      </c>
      <c r="Q61" s="15" t="n">
        <v>175.733469</v>
      </c>
      <c r="R61" s="15" t="n">
        <v>182.478088</v>
      </c>
      <c r="S61" s="15" t="n">
        <v>184.734631</v>
      </c>
      <c r="T61" s="15" t="n">
        <v>179.668245</v>
      </c>
      <c r="U61" s="15" t="n">
        <v>179.852633</v>
      </c>
      <c r="V61" s="15" t="n">
        <v>182.959474</v>
      </c>
      <c r="W61" s="15" t="n">
        <v>185.647993</v>
      </c>
      <c r="X61" s="15" t="n">
        <v>187.235417</v>
      </c>
      <c r="Y61" s="15" t="n">
        <v>187.179838</v>
      </c>
      <c r="Z61" s="15" t="n">
        <v>185.023086</v>
      </c>
      <c r="AA61" s="16" t="n">
        <f aca="false">Z61/Q61-1</f>
        <v>0.0528619679157418</v>
      </c>
      <c r="AB61" s="16" t="n">
        <v>0.1033</v>
      </c>
      <c r="AC61" s="16" t="n">
        <v>0.0611</v>
      </c>
      <c r="AD61" s="16" t="n">
        <v>0.0881</v>
      </c>
      <c r="AE61" s="16" t="n">
        <v>-0.0002</v>
      </c>
      <c r="AF61" s="16" t="n">
        <v>-0.0247</v>
      </c>
      <c r="AG61" s="17" t="n">
        <v>48801938.44</v>
      </c>
      <c r="AH61" s="18" t="n">
        <f aca="false">IFERROR(AVERAGE($AB61:$AF61),"")</f>
        <v>0.04552</v>
      </c>
      <c r="AI61" s="18" t="n">
        <f aca="false">IFERROR(_xlfn.STDEV.P($AB61:$AF61),"")</f>
        <v>0.0498306893390007</v>
      </c>
    </row>
    <row r="62" customFormat="false" ht="14.25" hidden="false" customHeight="true" outlineLevel="0" collapsed="false">
      <c r="A62" s="11" t="s">
        <v>123</v>
      </c>
      <c r="B62" s="12" t="s">
        <v>87</v>
      </c>
      <c r="C62" s="11" t="s">
        <v>27</v>
      </c>
      <c r="D62" s="11" t="s">
        <v>35</v>
      </c>
      <c r="E62" s="11" t="s">
        <v>36</v>
      </c>
      <c r="F62" s="11" t="s">
        <v>36</v>
      </c>
      <c r="G62" s="11" t="s">
        <v>22</v>
      </c>
      <c r="H62" s="11" t="s">
        <v>46</v>
      </c>
      <c r="I62" s="11" t="s">
        <v>24</v>
      </c>
      <c r="J62" s="11" t="s">
        <v>122</v>
      </c>
      <c r="K62" s="13" t="n">
        <v>0.0275</v>
      </c>
      <c r="L62" s="14" t="n">
        <v>37513</v>
      </c>
      <c r="M62" s="15" t="n">
        <v>59.672015</v>
      </c>
      <c r="N62" s="15" t="n">
        <v>60.643697</v>
      </c>
      <c r="O62" s="15" t="n">
        <v>60.929766</v>
      </c>
      <c r="P62" s="15" t="n">
        <v>60.978324</v>
      </c>
      <c r="Q62" s="15" t="n">
        <v>62.384534</v>
      </c>
      <c r="R62" s="15" t="n">
        <v>64.552458</v>
      </c>
      <c r="S62" s="15" t="n">
        <v>65.317467</v>
      </c>
      <c r="T62" s="15" t="n">
        <v>64.036279</v>
      </c>
      <c r="U62" s="15" t="n">
        <v>63.894665</v>
      </c>
      <c r="V62" s="15" t="n">
        <v>64.939148</v>
      </c>
      <c r="W62" s="15" t="n">
        <v>65.514832</v>
      </c>
      <c r="X62" s="15" t="n">
        <v>65.899672</v>
      </c>
      <c r="Y62" s="15" t="n">
        <v>66.264935</v>
      </c>
      <c r="Z62" s="15" t="n">
        <v>65.837611</v>
      </c>
      <c r="AA62" s="16" t="n">
        <f aca="false">Z62/Q62-1</f>
        <v>0.0553514914449789</v>
      </c>
      <c r="AB62" s="16" t="n">
        <v>0.0972</v>
      </c>
      <c r="AC62" s="16" t="n">
        <v>0.0354</v>
      </c>
      <c r="AD62" s="16" t="n">
        <v>0.0766</v>
      </c>
      <c r="AE62" s="16" t="n">
        <v>-0.0166</v>
      </c>
      <c r="AF62" s="16" t="n">
        <v>-0.0229</v>
      </c>
      <c r="AG62" s="17" t="n">
        <v>60661772.96</v>
      </c>
      <c r="AH62" s="18" t="n">
        <f aca="false">IFERROR(AVERAGE($AB62:$AF62),"")</f>
        <v>0.03394</v>
      </c>
      <c r="AI62" s="18" t="n">
        <f aca="false">IFERROR(_xlfn.STDEV.P($AB62:$AF62),"")</f>
        <v>0.0481848772956827</v>
      </c>
    </row>
    <row r="63" customFormat="false" ht="14.25" hidden="false" customHeight="true" outlineLevel="0" collapsed="false">
      <c r="A63" s="11" t="s">
        <v>124</v>
      </c>
      <c r="B63" s="12" t="s">
        <v>87</v>
      </c>
      <c r="C63" s="11" t="s">
        <v>27</v>
      </c>
      <c r="D63" s="11" t="s">
        <v>35</v>
      </c>
      <c r="E63" s="11" t="s">
        <v>36</v>
      </c>
      <c r="F63" s="11" t="s">
        <v>36</v>
      </c>
      <c r="G63" s="11" t="s">
        <v>22</v>
      </c>
      <c r="H63" s="11" t="s">
        <v>37</v>
      </c>
      <c r="I63" s="11" t="s">
        <v>38</v>
      </c>
      <c r="J63" s="11" t="s">
        <v>39</v>
      </c>
      <c r="K63" s="13" t="n">
        <v>0.016</v>
      </c>
      <c r="L63" s="14" t="n">
        <v>42410</v>
      </c>
      <c r="M63" s="15" t="n">
        <v>171.563498</v>
      </c>
      <c r="N63" s="15" t="n">
        <v>175.169876</v>
      </c>
      <c r="O63" s="15" t="n">
        <v>177.899769</v>
      </c>
      <c r="P63" s="15" t="n">
        <v>178.31949</v>
      </c>
      <c r="Q63" s="15" t="n">
        <v>179.503025</v>
      </c>
      <c r="R63" s="15" t="n">
        <v>182.163115</v>
      </c>
      <c r="S63" s="15" t="n">
        <v>184.226831</v>
      </c>
      <c r="T63" s="15" t="n">
        <v>174.586676</v>
      </c>
      <c r="U63" s="15" t="n">
        <v>185.529814</v>
      </c>
      <c r="V63" s="15" t="n">
        <v>190.916035</v>
      </c>
      <c r="W63" s="15" t="n">
        <v>190.300807</v>
      </c>
      <c r="X63" s="15" t="n">
        <v>188.389525</v>
      </c>
      <c r="Y63" s="15" t="n">
        <v>192.707065</v>
      </c>
      <c r="Z63" s="15" t="n">
        <v>189.11968</v>
      </c>
      <c r="AA63" s="16" t="n">
        <f aca="false">Z63/Q63-1</f>
        <v>0.0535737768207527</v>
      </c>
      <c r="AB63" s="16" t="n">
        <v>0.1395</v>
      </c>
      <c r="AC63" s="16" t="n">
        <v>0.0912</v>
      </c>
      <c r="AD63" s="16" t="n">
        <v>0.1175</v>
      </c>
      <c r="AE63" s="16" t="n">
        <v>-0.1779</v>
      </c>
      <c r="AF63" s="16" t="n">
        <v>0.0824</v>
      </c>
      <c r="AG63" s="17" t="n">
        <v>36016497.48</v>
      </c>
      <c r="AH63" s="18" t="n">
        <f aca="false">IFERROR(AVERAGE($AB63:$AF63),"")</f>
        <v>0.05054</v>
      </c>
      <c r="AI63" s="18" t="n">
        <f aca="false">IFERROR(_xlfn.STDEV.P($AB63:$AF63),"")</f>
        <v>0.115974697240389</v>
      </c>
    </row>
    <row r="64" customFormat="false" ht="14.25" hidden="false" customHeight="true" outlineLevel="0" collapsed="false">
      <c r="A64" s="11" t="s">
        <v>125</v>
      </c>
      <c r="B64" s="12" t="s">
        <v>87</v>
      </c>
      <c r="C64" s="11" t="s">
        <v>27</v>
      </c>
      <c r="D64" s="11" t="s">
        <v>35</v>
      </c>
      <c r="E64" s="11" t="s">
        <v>36</v>
      </c>
      <c r="F64" s="11" t="s">
        <v>36</v>
      </c>
      <c r="G64" s="11" t="s">
        <v>22</v>
      </c>
      <c r="H64" s="11" t="s">
        <v>46</v>
      </c>
      <c r="I64" s="11" t="s">
        <v>38</v>
      </c>
      <c r="J64" s="11" t="s">
        <v>39</v>
      </c>
      <c r="K64" s="13" t="n">
        <v>0.013</v>
      </c>
      <c r="L64" s="14" t="n">
        <v>42408</v>
      </c>
      <c r="M64" s="15" t="n">
        <v>154.187766</v>
      </c>
      <c r="N64" s="15" t="n">
        <v>156.838249</v>
      </c>
      <c r="O64" s="15" t="n">
        <v>158.783719</v>
      </c>
      <c r="P64" s="15" t="n">
        <v>159.307458</v>
      </c>
      <c r="Q64" s="15" t="n">
        <v>160.157262</v>
      </c>
      <c r="R64" s="15" t="n">
        <v>161.9699</v>
      </c>
      <c r="S64" s="15" t="n">
        <v>163.626697</v>
      </c>
      <c r="T64" s="15" t="n">
        <v>156.779664</v>
      </c>
      <c r="U64" s="15" t="n">
        <v>163.798635</v>
      </c>
      <c r="V64" s="15" t="n">
        <v>167.145403</v>
      </c>
      <c r="W64" s="15" t="n">
        <v>167.148399</v>
      </c>
      <c r="X64" s="15" t="n">
        <v>165.556042</v>
      </c>
      <c r="Y64" s="15" t="n">
        <v>168.439453</v>
      </c>
      <c r="Z64" s="15" t="n">
        <v>164.686616</v>
      </c>
      <c r="AA64" s="16" t="n">
        <f aca="false">Z64/Q64-1</f>
        <v>0.028280665787106</v>
      </c>
      <c r="AB64" s="16" t="n">
        <v>0.1156</v>
      </c>
      <c r="AC64" s="16" t="n">
        <v>0.0713</v>
      </c>
      <c r="AD64" s="16" t="n">
        <v>0.0956</v>
      </c>
      <c r="AE64" s="16" t="n">
        <v>-0.1666</v>
      </c>
      <c r="AF64" s="16" t="n">
        <v>0.0513</v>
      </c>
      <c r="AG64" s="17" t="n">
        <v>107372701.07</v>
      </c>
      <c r="AH64" s="18" t="n">
        <f aca="false">IFERROR(AVERAGE($AB64:$AF64),"")</f>
        <v>0.03344</v>
      </c>
      <c r="AI64" s="18" t="n">
        <f aca="false">IFERROR(_xlfn.STDEV.P($AB64:$AF64),"")</f>
        <v>0.102354767353553</v>
      </c>
    </row>
    <row r="65" customFormat="false" ht="14.25" hidden="false" customHeight="true" outlineLevel="0" collapsed="false">
      <c r="A65" s="11" t="s">
        <v>126</v>
      </c>
      <c r="B65" s="12" t="s">
        <v>87</v>
      </c>
      <c r="C65" s="11" t="s">
        <v>27</v>
      </c>
      <c r="D65" s="11" t="s">
        <v>60</v>
      </c>
      <c r="E65" s="11" t="s">
        <v>61</v>
      </c>
      <c r="F65" s="11" t="s">
        <v>62</v>
      </c>
      <c r="G65" s="11" t="s">
        <v>95</v>
      </c>
      <c r="H65" s="11" t="s">
        <v>37</v>
      </c>
      <c r="I65" s="11" t="s">
        <v>38</v>
      </c>
      <c r="J65" s="11" t="s">
        <v>39</v>
      </c>
      <c r="K65" s="13" t="n">
        <v>0.01</v>
      </c>
      <c r="L65" s="14" t="n">
        <v>44536</v>
      </c>
      <c r="M65" s="15" t="n">
        <v>89.45095</v>
      </c>
      <c r="N65" s="15" t="n">
        <v>88.826568</v>
      </c>
      <c r="O65" s="15" t="n">
        <v>92.224739</v>
      </c>
      <c r="P65" s="15" t="n">
        <v>98.252221</v>
      </c>
      <c r="Q65" s="15" t="n">
        <v>97.950036</v>
      </c>
      <c r="R65" s="15" t="n">
        <v>101.099496</v>
      </c>
      <c r="S65" s="15" t="n">
        <v>101.32305</v>
      </c>
      <c r="T65" s="15" t="n">
        <v>93.296872</v>
      </c>
      <c r="U65" s="15" t="n">
        <v>96.804305</v>
      </c>
      <c r="V65" s="15" t="n">
        <v>102.940406</v>
      </c>
      <c r="W65" s="15" t="n">
        <v>106.871177</v>
      </c>
      <c r="X65" s="15" t="n">
        <v>107.303747</v>
      </c>
      <c r="Y65" s="15" t="n">
        <v>110.491759</v>
      </c>
      <c r="Z65" s="15" t="n">
        <v>108.111123</v>
      </c>
      <c r="AA65" s="16" t="n">
        <f aca="false">Z65/Q65-1</f>
        <v>0.103737450387461</v>
      </c>
      <c r="AB65" s="16" t="n">
        <v>0.1715</v>
      </c>
      <c r="AC65" s="16" t="n">
        <v>0.0223</v>
      </c>
      <c r="AD65" s="16" t="n">
        <v>0.078</v>
      </c>
      <c r="AE65" s="16" t="n">
        <v>-0.2242</v>
      </c>
      <c r="AF65" s="16" t="n">
        <v>0.0215</v>
      </c>
      <c r="AG65" s="17" t="n">
        <v>4651799.27</v>
      </c>
      <c r="AH65" s="18" t="n">
        <f aca="false">IFERROR(AVERAGE($AB65:$AF65),"")</f>
        <v>0.01382</v>
      </c>
      <c r="AI65" s="18" t="n">
        <f aca="false">IFERROR(_xlfn.STDEV.P($AB65:$AF65),"")</f>
        <v>0.130970582956632</v>
      </c>
    </row>
    <row r="66" customFormat="false" ht="14.25" hidden="false" customHeight="true" outlineLevel="0" collapsed="false">
      <c r="A66" s="11" t="s">
        <v>127</v>
      </c>
      <c r="B66" s="12" t="s">
        <v>87</v>
      </c>
      <c r="C66" s="11" t="s">
        <v>27</v>
      </c>
      <c r="D66" s="11" t="s">
        <v>35</v>
      </c>
      <c r="E66" s="11" t="s">
        <v>36</v>
      </c>
      <c r="F66" s="11" t="s">
        <v>36</v>
      </c>
      <c r="G66" s="11" t="s">
        <v>22</v>
      </c>
      <c r="H66" s="11" t="s">
        <v>46</v>
      </c>
      <c r="I66" s="11" t="s">
        <v>38</v>
      </c>
      <c r="J66" s="11" t="s">
        <v>39</v>
      </c>
      <c r="K66" s="13" t="n">
        <v>0.01</v>
      </c>
      <c r="L66" s="14" t="n">
        <v>42408</v>
      </c>
      <c r="M66" s="15" t="n">
        <v>125.917131</v>
      </c>
      <c r="N66" s="15" t="n">
        <v>127.24657</v>
      </c>
      <c r="O66" s="15" t="n">
        <v>128.122841</v>
      </c>
      <c r="P66" s="15" t="n">
        <v>128.641451</v>
      </c>
      <c r="Q66" s="15" t="n">
        <v>129.051978</v>
      </c>
      <c r="R66" s="15" t="n">
        <v>129.764597</v>
      </c>
      <c r="S66" s="15" t="n">
        <v>130.748537</v>
      </c>
      <c r="T66" s="15" t="n">
        <v>127.522093</v>
      </c>
      <c r="U66" s="15" t="n">
        <v>129.768583</v>
      </c>
      <c r="V66" s="15" t="n">
        <v>130.711798</v>
      </c>
      <c r="W66" s="15" t="n">
        <v>131.267497</v>
      </c>
      <c r="X66" s="15" t="n">
        <v>130.246314</v>
      </c>
      <c r="Y66" s="15" t="n">
        <v>131.268361</v>
      </c>
      <c r="Z66" s="15" t="n">
        <v>127.997816</v>
      </c>
      <c r="AA66" s="16" t="n">
        <f aca="false">Z66/Q66-1</f>
        <v>-0.00816850711114237</v>
      </c>
      <c r="AB66" s="16" t="n">
        <v>0.0758</v>
      </c>
      <c r="AC66" s="16" t="n">
        <v>0.0401</v>
      </c>
      <c r="AD66" s="16" t="n">
        <v>0.0579</v>
      </c>
      <c r="AE66" s="16" t="n">
        <v>-0.1388</v>
      </c>
      <c r="AF66" s="16" t="n">
        <v>0.0027</v>
      </c>
      <c r="AG66" s="17" t="n">
        <v>47520856.89</v>
      </c>
      <c r="AH66" s="18" t="n">
        <f aca="false">IFERROR(AVERAGE($AB66:$AF66),"")</f>
        <v>0.00754</v>
      </c>
      <c r="AI66" s="18" t="n">
        <f aca="false">IFERROR(_xlfn.STDEV.P($AB66:$AF66),"")</f>
        <v>0.0770643004250347</v>
      </c>
    </row>
    <row r="67" customFormat="false" ht="14.25" hidden="false" customHeight="true" outlineLevel="0" collapsed="false">
      <c r="A67" s="11" t="s">
        <v>128</v>
      </c>
      <c r="B67" s="12" t="s">
        <v>87</v>
      </c>
      <c r="C67" s="11" t="s">
        <v>18</v>
      </c>
      <c r="D67" s="11" t="s">
        <v>35</v>
      </c>
      <c r="E67" s="11" t="s">
        <v>36</v>
      </c>
      <c r="F67" s="11" t="s">
        <v>36</v>
      </c>
      <c r="G67" s="11" t="s">
        <v>28</v>
      </c>
      <c r="H67" s="11" t="s">
        <v>46</v>
      </c>
      <c r="I67" s="11" t="s">
        <v>24</v>
      </c>
      <c r="J67" s="11" t="s">
        <v>39</v>
      </c>
      <c r="K67" s="13" t="n">
        <v>0.03</v>
      </c>
      <c r="L67" s="14" t="n">
        <v>39615</v>
      </c>
      <c r="M67" s="15" t="n">
        <v>115.158025</v>
      </c>
      <c r="N67" s="15" t="n">
        <v>114.981991</v>
      </c>
      <c r="O67" s="15" t="n">
        <v>113.235049</v>
      </c>
      <c r="P67" s="15" t="n">
        <v>113.208691</v>
      </c>
      <c r="Q67" s="15" t="n">
        <v>113.836613</v>
      </c>
      <c r="R67" s="15" t="n">
        <v>114.90415</v>
      </c>
      <c r="S67" s="15" t="n">
        <v>116.080484</v>
      </c>
      <c r="T67" s="15" t="n">
        <v>115.766213</v>
      </c>
      <c r="U67" s="15" t="n">
        <v>121.815502</v>
      </c>
      <c r="V67" s="15" t="n">
        <v>120.84125</v>
      </c>
      <c r="W67" s="15" t="n">
        <v>120.687763</v>
      </c>
      <c r="X67" s="15" t="n">
        <v>119.083676</v>
      </c>
      <c r="Y67" s="15" t="n">
        <v>119.997837</v>
      </c>
      <c r="Z67" s="15" t="n">
        <v>119.56760471</v>
      </c>
      <c r="AA67" s="16" t="n">
        <f aca="false">Z67/Q67-1</f>
        <v>0.0503440111135423</v>
      </c>
      <c r="AB67" s="16" t="n">
        <v>-0.0024</v>
      </c>
      <c r="AC67" s="16" t="n">
        <v>0.0883</v>
      </c>
      <c r="AD67" s="16" t="n">
        <v>0.0662</v>
      </c>
      <c r="AE67" s="16" t="n">
        <v>-0.2027</v>
      </c>
      <c r="AF67" s="16" t="n">
        <v>-0.0573</v>
      </c>
      <c r="AG67" s="17" t="n">
        <v>7527823.81</v>
      </c>
      <c r="AH67" s="18" t="n">
        <f aca="false">IFERROR(AVERAGE($AB67:$AF67),"")</f>
        <v>-0.02158</v>
      </c>
      <c r="AI67" s="18" t="n">
        <f aca="false">IFERROR(_xlfn.STDEV.P($AB67:$AF67),"")</f>
        <v>0.104141430756448</v>
      </c>
    </row>
    <row r="68" customFormat="false" ht="14.25" hidden="false" customHeight="true" outlineLevel="0" collapsed="false">
      <c r="A68" s="11" t="s">
        <v>129</v>
      </c>
      <c r="B68" s="12" t="s">
        <v>87</v>
      </c>
      <c r="C68" s="11" t="s">
        <v>18</v>
      </c>
      <c r="D68" s="11" t="s">
        <v>19</v>
      </c>
      <c r="E68" s="11" t="s">
        <v>20</v>
      </c>
      <c r="F68" s="11" t="s">
        <v>21</v>
      </c>
      <c r="G68" s="11" t="s">
        <v>22</v>
      </c>
      <c r="H68" s="11" t="s">
        <v>23</v>
      </c>
      <c r="I68" s="11" t="s">
        <v>24</v>
      </c>
      <c r="J68" s="11" t="s">
        <v>31</v>
      </c>
      <c r="K68" s="13" t="n">
        <v>0.0077</v>
      </c>
      <c r="L68" s="14" t="n">
        <v>36622</v>
      </c>
      <c r="M68" s="15" t="n">
        <v>346.302283</v>
      </c>
      <c r="N68" s="15" t="n">
        <v>347.434184</v>
      </c>
      <c r="O68" s="15" t="n">
        <v>348.520308</v>
      </c>
      <c r="P68" s="15" t="n">
        <v>349.629512</v>
      </c>
      <c r="Q68" s="15" t="n">
        <v>350.756614</v>
      </c>
      <c r="R68" s="15" t="n">
        <v>351.963632</v>
      </c>
      <c r="S68" s="15" t="n">
        <v>352.935746</v>
      </c>
      <c r="T68" s="15" t="n">
        <v>354.041148</v>
      </c>
      <c r="U68" s="15" t="n">
        <v>355.204158</v>
      </c>
      <c r="V68" s="15" t="n">
        <v>356.421916</v>
      </c>
      <c r="W68" s="15" t="n">
        <v>357.632217</v>
      </c>
      <c r="X68" s="15" t="n">
        <v>358.828085</v>
      </c>
      <c r="Y68" s="15" t="n">
        <v>360.026212</v>
      </c>
      <c r="Z68" s="15" t="n">
        <v>361.10296737</v>
      </c>
      <c r="AA68" s="16" t="n">
        <f aca="false">Z68/Q68-1</f>
        <v>0.0294972438352936</v>
      </c>
      <c r="AB68" s="16" t="n">
        <v>0.0428</v>
      </c>
      <c r="AC68" s="16" t="n">
        <v>0.0549</v>
      </c>
      <c r="AD68" s="16" t="n">
        <v>0.0721</v>
      </c>
      <c r="AE68" s="16" t="n">
        <v>0.0457</v>
      </c>
      <c r="AF68" s="16" t="n">
        <v>0.002</v>
      </c>
      <c r="AG68" s="17" t="n">
        <v>3281456302.85</v>
      </c>
      <c r="AH68" s="18" t="n">
        <f aca="false">IFERROR(AVERAGE($AB68:$AF68),"")</f>
        <v>0.0435</v>
      </c>
      <c r="AI68" s="18" t="n">
        <f aca="false">IFERROR(_xlfn.STDEV.P($AB68:$AF68),"")</f>
        <v>0.0231322285999425</v>
      </c>
    </row>
    <row r="69" customFormat="false" ht="14.25" hidden="false" customHeight="true" outlineLevel="0" collapsed="false">
      <c r="A69" s="11" t="s">
        <v>130</v>
      </c>
      <c r="B69" s="12" t="s">
        <v>87</v>
      </c>
      <c r="C69" s="11" t="s">
        <v>27</v>
      </c>
      <c r="D69" s="11" t="s">
        <v>19</v>
      </c>
      <c r="E69" s="11" t="s">
        <v>20</v>
      </c>
      <c r="F69" s="11" t="s">
        <v>21</v>
      </c>
      <c r="G69" s="11" t="s">
        <v>22</v>
      </c>
      <c r="H69" s="11" t="s">
        <v>23</v>
      </c>
      <c r="I69" s="11" t="s">
        <v>24</v>
      </c>
      <c r="J69" s="11" t="s">
        <v>31</v>
      </c>
      <c r="K69" s="13" t="n">
        <v>0.0054</v>
      </c>
      <c r="L69" s="14" t="n">
        <v>36286</v>
      </c>
      <c r="M69" s="15" t="n">
        <v>194.03516</v>
      </c>
      <c r="N69" s="15" t="n">
        <v>194.618935</v>
      </c>
      <c r="O69" s="15" t="n">
        <v>195.214772</v>
      </c>
      <c r="P69" s="15" t="n">
        <v>195.771391</v>
      </c>
      <c r="Q69" s="15" t="n">
        <v>196.344898</v>
      </c>
      <c r="R69" s="15" t="n">
        <v>196.89864</v>
      </c>
      <c r="S69" s="15" t="n">
        <v>197.39664</v>
      </c>
      <c r="T69" s="15" t="n">
        <v>197.909535</v>
      </c>
      <c r="U69" s="15" t="n">
        <v>198.457995</v>
      </c>
      <c r="V69" s="15" t="n">
        <v>198.953923</v>
      </c>
      <c r="W69" s="15" t="n">
        <v>199.473722</v>
      </c>
      <c r="X69" s="15" t="n">
        <v>200.021553</v>
      </c>
      <c r="Y69" s="15" t="n">
        <v>200.581353</v>
      </c>
      <c r="Z69" s="15" t="n">
        <v>201.112443</v>
      </c>
      <c r="AA69" s="16" t="n">
        <f aca="false">Z69/Q69-1</f>
        <v>0.0242814814571857</v>
      </c>
      <c r="AB69" s="16" t="n">
        <v>0.0383</v>
      </c>
      <c r="AC69" s="16" t="n">
        <v>0.0493</v>
      </c>
      <c r="AD69" s="16" t="n">
        <v>0.0483</v>
      </c>
      <c r="AE69" s="16" t="n">
        <v>0.0158</v>
      </c>
      <c r="AF69" s="16" t="n">
        <v>0.0028</v>
      </c>
      <c r="AG69" s="17" t="n">
        <v>6244395030.03</v>
      </c>
      <c r="AH69" s="18" t="n">
        <f aca="false">IFERROR(AVERAGE($AB69:$AF69),"")</f>
        <v>0.0309</v>
      </c>
      <c r="AI69" s="18" t="n">
        <f aca="false">IFERROR(_xlfn.STDEV.P($AB69:$AF69),"")</f>
        <v>0.018513238506539</v>
      </c>
    </row>
    <row r="70" customFormat="false" ht="14.25" hidden="false" customHeight="true" outlineLevel="0" collapsed="false">
      <c r="A70" s="11" t="s">
        <v>131</v>
      </c>
      <c r="B70" s="12" t="s">
        <v>87</v>
      </c>
      <c r="C70" s="11" t="s">
        <v>18</v>
      </c>
      <c r="D70" s="11" t="s">
        <v>69</v>
      </c>
      <c r="E70" s="11" t="s">
        <v>70</v>
      </c>
      <c r="F70" s="11" t="s">
        <v>132</v>
      </c>
      <c r="G70" s="11" t="s">
        <v>22</v>
      </c>
      <c r="H70" s="11" t="s">
        <v>46</v>
      </c>
      <c r="I70" s="11" t="s">
        <v>24</v>
      </c>
      <c r="J70" s="11" t="s">
        <v>77</v>
      </c>
      <c r="K70" s="13" t="n">
        <v>0.0075</v>
      </c>
      <c r="L70" s="14" t="n">
        <v>44172</v>
      </c>
      <c r="M70" s="15" t="n">
        <v>99.867883</v>
      </c>
      <c r="N70" s="15" t="n">
        <v>100.174087</v>
      </c>
      <c r="O70" s="15" t="n">
        <v>100.516336</v>
      </c>
      <c r="P70" s="15" t="n">
        <v>100.813513</v>
      </c>
      <c r="Q70" s="15" t="n">
        <v>101.113406</v>
      </c>
      <c r="R70" s="15" t="n">
        <v>101.402854</v>
      </c>
      <c r="S70" s="15" t="n">
        <v>101.615174</v>
      </c>
      <c r="T70" s="15" t="n">
        <v>101.928077</v>
      </c>
      <c r="U70" s="15" t="n">
        <v>102.240861</v>
      </c>
      <c r="V70" s="15" t="n">
        <v>112.009904</v>
      </c>
      <c r="W70" s="15" t="n">
        <v>112.352869</v>
      </c>
      <c r="X70" s="15" t="n">
        <v>112.693374</v>
      </c>
      <c r="Y70" s="15" t="n">
        <v>113.026578</v>
      </c>
      <c r="Z70" s="15" t="n">
        <v>113.35970578</v>
      </c>
      <c r="AA70" s="16" t="n">
        <f aca="false">Z70/Q70-1</f>
        <v>0.121114501671519</v>
      </c>
      <c r="AB70" s="16" t="n">
        <v>-0.2224</v>
      </c>
      <c r="AC70" s="16" t="n">
        <v>0.0745</v>
      </c>
      <c r="AD70" s="16" t="n">
        <v>0.0829</v>
      </c>
      <c r="AE70" s="16" t="n">
        <v>0.0673</v>
      </c>
      <c r="AF70" s="16" t="n">
        <v>0.0418</v>
      </c>
      <c r="AG70" s="17" t="n">
        <v>66115039.33</v>
      </c>
      <c r="AH70" s="18" t="n">
        <f aca="false">IFERROR(AVERAGE($AB70:$AF70),"")</f>
        <v>0.00882</v>
      </c>
      <c r="AI70" s="18" t="n">
        <f aca="false">IFERROR(_xlfn.STDEV.P($AB70:$AF70),"")</f>
        <v>0.116423355045283</v>
      </c>
    </row>
    <row r="71" customFormat="false" ht="14.25" hidden="false" customHeight="true" outlineLevel="0" collapsed="false">
      <c r="A71" s="11" t="s">
        <v>133</v>
      </c>
      <c r="B71" s="12" t="s">
        <v>87</v>
      </c>
      <c r="C71" s="11" t="s">
        <v>27</v>
      </c>
      <c r="D71" s="11" t="s">
        <v>69</v>
      </c>
      <c r="E71" s="11" t="s">
        <v>70</v>
      </c>
      <c r="F71" s="11" t="s">
        <v>132</v>
      </c>
      <c r="G71" s="11" t="s">
        <v>22</v>
      </c>
      <c r="H71" s="11" t="s">
        <v>46</v>
      </c>
      <c r="I71" s="11" t="s">
        <v>24</v>
      </c>
      <c r="J71" s="11" t="s">
        <v>77</v>
      </c>
      <c r="K71" s="13" t="n">
        <v>0.0075</v>
      </c>
      <c r="L71" s="14" t="n">
        <v>45097</v>
      </c>
      <c r="M71" s="15" t="n">
        <v>44.213715</v>
      </c>
      <c r="N71" s="15" t="n">
        <v>44.322625</v>
      </c>
      <c r="O71" s="15" t="n">
        <v>44.590652</v>
      </c>
      <c r="P71" s="15" t="n">
        <v>44.693061</v>
      </c>
      <c r="Q71" s="15" t="n">
        <v>44.779635</v>
      </c>
      <c r="R71" s="15" t="n">
        <v>44.868</v>
      </c>
      <c r="S71" s="15" t="n">
        <v>44.972527</v>
      </c>
      <c r="T71" s="15" t="n">
        <v>46.139162</v>
      </c>
      <c r="U71" s="15" t="n">
        <v>46.868063</v>
      </c>
      <c r="V71" s="15" t="n">
        <v>43.783361</v>
      </c>
      <c r="W71" s="15" t="n">
        <v>44.753685</v>
      </c>
      <c r="X71" s="15" t="n">
        <v>44.838893</v>
      </c>
      <c r="Y71" s="15" t="n">
        <v>44.922082</v>
      </c>
      <c r="Z71" s="15" t="n">
        <v>44.981798</v>
      </c>
      <c r="AA71" s="16" t="n">
        <f aca="false">Z71/Q71-1</f>
        <v>0.00451461920134011</v>
      </c>
      <c r="AB71" s="16" t="n">
        <v>-0.5887</v>
      </c>
      <c r="AC71" s="16" t="n">
        <v>0.0607</v>
      </c>
      <c r="AD71" s="16" t="n">
        <v>0.0382</v>
      </c>
      <c r="AE71" s="16"/>
      <c r="AF71" s="16"/>
      <c r="AG71" s="17" t="n">
        <v>135483804.12</v>
      </c>
      <c r="AH71" s="18" t="n">
        <f aca="false">IFERROR(AVERAGE($AB71:$AF71),"")</f>
        <v>-0.163266666666667</v>
      </c>
      <c r="AI71" s="18" t="n">
        <f aca="false">IFERROR(_xlfn.STDEV.P($AB71:$AF71),"")</f>
        <v>0.300967000775094</v>
      </c>
    </row>
    <row r="72" customFormat="false" ht="14.25" hidden="false" customHeight="true" outlineLevel="0" collapsed="false">
      <c r="A72" s="11" t="s">
        <v>134</v>
      </c>
      <c r="B72" s="12" t="s">
        <v>135</v>
      </c>
      <c r="C72" s="11" t="s">
        <v>27</v>
      </c>
      <c r="D72" s="11" t="s">
        <v>60</v>
      </c>
      <c r="E72" s="11" t="s">
        <v>61</v>
      </c>
      <c r="F72" s="11" t="s">
        <v>62</v>
      </c>
      <c r="G72" s="11" t="s">
        <v>22</v>
      </c>
      <c r="H72" s="11" t="s">
        <v>37</v>
      </c>
      <c r="I72" s="11" t="s">
        <v>24</v>
      </c>
      <c r="J72" s="11" t="s">
        <v>136</v>
      </c>
      <c r="K72" s="13" t="n">
        <v>0.0055</v>
      </c>
      <c r="L72" s="14" t="n">
        <v>44266</v>
      </c>
      <c r="M72" s="15" t="n">
        <v>14.94211937</v>
      </c>
      <c r="N72" s="15" t="n">
        <v>16.73546011</v>
      </c>
      <c r="O72" s="15" t="n">
        <v>17.23461643</v>
      </c>
      <c r="P72" s="15" t="n">
        <v>17.46360867</v>
      </c>
      <c r="Q72" s="15" t="n">
        <v>18.82029327</v>
      </c>
      <c r="R72" s="15" t="n">
        <v>23.02747968</v>
      </c>
      <c r="S72" s="15" t="n">
        <v>25.29564968</v>
      </c>
      <c r="T72" s="15" t="n">
        <v>21.73224833</v>
      </c>
      <c r="U72" s="15" t="n">
        <v>21.08740175</v>
      </c>
      <c r="V72" s="15" t="n">
        <v>23.06892247</v>
      </c>
      <c r="W72" s="15" t="n">
        <v>23.69320299</v>
      </c>
      <c r="X72" s="15" t="n">
        <v>24.5491327</v>
      </c>
      <c r="Y72" s="15" t="n">
        <v>25.34902392</v>
      </c>
      <c r="Z72" s="15" t="n">
        <v>25.08417995</v>
      </c>
      <c r="AA72" s="16" t="n">
        <f aca="false">Z72/Q72-1</f>
        <v>0.332826199365596</v>
      </c>
      <c r="AB72" s="16" t="n">
        <v>0.6352</v>
      </c>
      <c r="AC72" s="16" t="n">
        <v>0.046</v>
      </c>
      <c r="AD72" s="16" t="n">
        <v>0.2915</v>
      </c>
      <c r="AE72" s="16" t="n">
        <v>0.0086</v>
      </c>
      <c r="AF72" s="16" t="n">
        <v>-0.1739</v>
      </c>
      <c r="AG72" s="17" t="n">
        <v>181428707.96</v>
      </c>
      <c r="AH72" s="18" t="n">
        <f aca="false">IFERROR(AVERAGE($AB72:$AF72),"")</f>
        <v>0.16148</v>
      </c>
      <c r="AI72" s="18" t="n">
        <f aca="false">IFERROR(_xlfn.STDEV.P($AB72:$AF72),"")</f>
        <v>0.279465027507916</v>
      </c>
    </row>
    <row r="73" customFormat="false" ht="14.25" hidden="false" customHeight="true" outlineLevel="0" collapsed="false">
      <c r="A73" s="11" t="s">
        <v>137</v>
      </c>
      <c r="B73" s="12" t="s">
        <v>135</v>
      </c>
      <c r="C73" s="11" t="s">
        <v>27</v>
      </c>
      <c r="D73" s="11" t="s">
        <v>60</v>
      </c>
      <c r="E73" s="11" t="s">
        <v>61</v>
      </c>
      <c r="F73" s="11" t="s">
        <v>62</v>
      </c>
      <c r="G73" s="11" t="s">
        <v>28</v>
      </c>
      <c r="H73" s="11" t="s">
        <v>37</v>
      </c>
      <c r="I73" s="11" t="s">
        <v>38</v>
      </c>
      <c r="J73" s="11" t="s">
        <v>39</v>
      </c>
      <c r="K73" s="13" t="n">
        <v>0.015</v>
      </c>
      <c r="L73" s="14" t="n">
        <v>45320</v>
      </c>
      <c r="M73" s="15" t="n">
        <v>127.18348613</v>
      </c>
      <c r="N73" s="15" t="n">
        <v>130.91466659</v>
      </c>
      <c r="O73" s="15" t="n">
        <v>134.00352175</v>
      </c>
      <c r="P73" s="15" t="n">
        <v>133.83011701</v>
      </c>
      <c r="Q73" s="15" t="n">
        <v>135.3222639</v>
      </c>
      <c r="R73" s="15" t="n">
        <v>136.96921068</v>
      </c>
      <c r="S73" s="15" t="n">
        <v>137.47543099</v>
      </c>
      <c r="T73" s="15" t="n">
        <v>127.51432737</v>
      </c>
      <c r="U73" s="15" t="n">
        <v>140.6159041</v>
      </c>
      <c r="V73" s="15" t="n">
        <v>147.95442465</v>
      </c>
      <c r="W73" s="15" t="n">
        <v>146.29585947</v>
      </c>
      <c r="X73" s="15" t="n">
        <v>145.24668055</v>
      </c>
      <c r="Y73" s="15" t="n">
        <v>149.38905459</v>
      </c>
      <c r="Z73" s="15" t="n">
        <v>148.65090063</v>
      </c>
      <c r="AA73" s="16" t="n">
        <f aca="false">Z73/Q73-1</f>
        <v>0.0984955198491917</v>
      </c>
      <c r="AB73" s="16" t="n">
        <v>0.1655</v>
      </c>
      <c r="AC73" s="16" t="n">
        <v>0.1586</v>
      </c>
      <c r="AD73" s="16"/>
      <c r="AE73" s="16"/>
      <c r="AF73" s="16"/>
      <c r="AG73" s="17" t="n">
        <v>0</v>
      </c>
      <c r="AH73" s="18" t="n">
        <f aca="false">IFERROR(AVERAGE($AB73:$AF73),"")</f>
        <v>0.16205</v>
      </c>
      <c r="AI73" s="18" t="n">
        <f aca="false">IFERROR(_xlfn.STDEV.P($AB73:$AF73),"")</f>
        <v>0.00345000000000001</v>
      </c>
    </row>
    <row r="74" customFormat="false" ht="14.25" hidden="false" customHeight="true" outlineLevel="0" collapsed="false">
      <c r="A74" s="11" t="s">
        <v>138</v>
      </c>
      <c r="B74" s="12" t="s">
        <v>135</v>
      </c>
      <c r="C74" s="11" t="s">
        <v>18</v>
      </c>
      <c r="D74" s="11" t="s">
        <v>44</v>
      </c>
      <c r="E74" s="11" t="s">
        <v>139</v>
      </c>
      <c r="F74" s="11" t="s">
        <v>21</v>
      </c>
      <c r="G74" s="11" t="s">
        <v>22</v>
      </c>
      <c r="H74" s="11" t="s">
        <v>37</v>
      </c>
      <c r="I74" s="11" t="s">
        <v>24</v>
      </c>
      <c r="J74" s="11" t="s">
        <v>136</v>
      </c>
      <c r="K74" s="13" t="n">
        <v>0.0005</v>
      </c>
      <c r="L74" s="14" t="n">
        <v>45748</v>
      </c>
      <c r="M74" s="15" t="n">
        <v>105.98369813</v>
      </c>
      <c r="N74" s="15" t="n">
        <v>107.84736327</v>
      </c>
      <c r="O74" s="15" t="n">
        <v>108.20357918</v>
      </c>
      <c r="P74" s="15" t="n">
        <v>109.74943237</v>
      </c>
      <c r="Q74" s="15" t="n">
        <v>110.61604925</v>
      </c>
      <c r="R74" s="15" t="n">
        <v>111.66240355</v>
      </c>
      <c r="S74" s="15" t="n">
        <v>111.72905874</v>
      </c>
      <c r="T74" s="15" t="n">
        <v>107.91394042</v>
      </c>
      <c r="U74" s="15" t="n">
        <v>109.30136436</v>
      </c>
      <c r="V74" s="15" t="n">
        <v>110.22859534</v>
      </c>
      <c r="W74" s="15" t="n">
        <v>112.56613385</v>
      </c>
      <c r="X74" s="15" t="n">
        <v>113.10807699</v>
      </c>
      <c r="Y74" s="15" t="n">
        <v>112.50574435</v>
      </c>
      <c r="Z74" s="15" t="n">
        <v>110.04027513</v>
      </c>
      <c r="AA74" s="16" t="n">
        <f aca="false">Z74/Q74-1</f>
        <v>-0.00520515896114415</v>
      </c>
      <c r="AB74" s="16" t="n">
        <v>0.1062</v>
      </c>
      <c r="AC74" s="16"/>
      <c r="AD74" s="16"/>
      <c r="AE74" s="16"/>
      <c r="AF74" s="16"/>
      <c r="AG74" s="17" t="n">
        <v>152695903.93</v>
      </c>
      <c r="AH74" s="18" t="n">
        <f aca="false">IFERROR(AVERAGE($AB74:$AF74),"")</f>
        <v>0.1062</v>
      </c>
      <c r="AI74" s="18" t="n">
        <f aca="false">IFERROR(_xlfn.STDEV.P($AB74:$AF74),"")</f>
        <v>0</v>
      </c>
    </row>
    <row r="75" customFormat="false" ht="14.25" hidden="false" customHeight="true" outlineLevel="0" collapsed="false">
      <c r="A75" s="11" t="s">
        <v>140</v>
      </c>
      <c r="B75" s="12" t="s">
        <v>135</v>
      </c>
      <c r="C75" s="11" t="s">
        <v>27</v>
      </c>
      <c r="D75" s="11" t="s">
        <v>69</v>
      </c>
      <c r="E75" s="11" t="s">
        <v>70</v>
      </c>
      <c r="F75" s="11" t="s">
        <v>55</v>
      </c>
      <c r="G75" s="11" t="s">
        <v>56</v>
      </c>
      <c r="H75" s="11" t="s">
        <v>37</v>
      </c>
      <c r="I75" s="11" t="s">
        <v>38</v>
      </c>
      <c r="J75" s="11" t="s">
        <v>39</v>
      </c>
      <c r="K75" s="13" t="n">
        <v>0.0125</v>
      </c>
      <c r="L75" s="14" t="n">
        <v>44719</v>
      </c>
      <c r="M75" s="15" t="n">
        <v>126.5150153</v>
      </c>
      <c r="N75" s="15" t="n">
        <v>127.23647343</v>
      </c>
      <c r="O75" s="15" t="n">
        <v>128.18951237</v>
      </c>
      <c r="P75" s="15" t="n">
        <v>128.01261034</v>
      </c>
      <c r="Q75" s="15" t="n">
        <v>128.60282122</v>
      </c>
      <c r="R75" s="15" t="n">
        <v>129.02471529</v>
      </c>
      <c r="S75" s="15" t="n">
        <v>129.4426662</v>
      </c>
      <c r="T75" s="15" t="n">
        <v>129.67855616</v>
      </c>
      <c r="U75" s="15" t="n">
        <v>128.69954375</v>
      </c>
      <c r="V75" s="15" t="n">
        <v>128.53585266</v>
      </c>
      <c r="W75" s="15" t="n">
        <v>128.35535321</v>
      </c>
      <c r="X75" s="15" t="n">
        <v>128.17550182</v>
      </c>
      <c r="Y75" s="15" t="n">
        <v>128.00010554</v>
      </c>
      <c r="Z75" s="15" t="n">
        <v>127.70308386</v>
      </c>
      <c r="AA75" s="16" t="n">
        <f aca="false">Z75/Q75-1</f>
        <v>-0.00699624900499518</v>
      </c>
      <c r="AB75" s="16" t="n">
        <v>0.0548</v>
      </c>
      <c r="AC75" s="16" t="n">
        <v>0.1007</v>
      </c>
      <c r="AD75" s="16" t="n">
        <v>0.0879</v>
      </c>
      <c r="AE75" s="16" t="n">
        <v>0.0183</v>
      </c>
      <c r="AF75" s="16"/>
      <c r="AG75" s="17" t="n">
        <v>0</v>
      </c>
      <c r="AH75" s="18" t="n">
        <f aca="false">IFERROR(AVERAGE($AB75:$AF75),"")</f>
        <v>0.065425</v>
      </c>
      <c r="AI75" s="18" t="n">
        <f aca="false">IFERROR(_xlfn.STDEV.P($AB75:$AF75),"")</f>
        <v>0.0319495989802689</v>
      </c>
    </row>
    <row r="76" customFormat="false" ht="14.25" hidden="false" customHeight="true" outlineLevel="0" collapsed="false">
      <c r="A76" s="11" t="s">
        <v>141</v>
      </c>
      <c r="B76" s="12" t="s">
        <v>142</v>
      </c>
      <c r="C76" s="11" t="s">
        <v>27</v>
      </c>
      <c r="D76" s="11" t="s">
        <v>60</v>
      </c>
      <c r="E76" s="11" t="s">
        <v>61</v>
      </c>
      <c r="F76" s="11" t="s">
        <v>62</v>
      </c>
      <c r="G76" s="11" t="s">
        <v>28</v>
      </c>
      <c r="H76" s="11" t="s">
        <v>37</v>
      </c>
      <c r="I76" s="11" t="s">
        <v>24</v>
      </c>
      <c r="J76" s="11" t="s">
        <v>88</v>
      </c>
      <c r="K76" s="13" t="n">
        <v>0.015</v>
      </c>
      <c r="L76" s="14" t="n">
        <v>43249</v>
      </c>
      <c r="M76" s="15" t="n">
        <v>155.9677307</v>
      </c>
      <c r="N76" s="15" t="n">
        <v>162.23257935</v>
      </c>
      <c r="O76" s="15" t="n">
        <v>165.88537698</v>
      </c>
      <c r="P76" s="15" t="n">
        <v>164.82526361</v>
      </c>
      <c r="Q76" s="15" t="n">
        <v>167.64052675</v>
      </c>
      <c r="R76" s="15" t="n">
        <v>177.60525171</v>
      </c>
      <c r="S76" s="15" t="n">
        <v>183.73522864</v>
      </c>
      <c r="T76" s="15" t="n">
        <v>167.15583318</v>
      </c>
      <c r="U76" s="15" t="n">
        <v>184.01965334</v>
      </c>
      <c r="V76" s="15" t="n">
        <v>202.05742108</v>
      </c>
      <c r="W76" s="15" t="n">
        <v>202.58321858</v>
      </c>
      <c r="X76" s="15" t="n">
        <v>185.37455553</v>
      </c>
      <c r="Y76" s="15" t="n">
        <v>193.8291845</v>
      </c>
      <c r="Z76" s="15" t="n">
        <v>193.10513802</v>
      </c>
      <c r="AA76" s="16" t="n">
        <f aca="false">Z76/Q76-1</f>
        <v>0.151900091008274</v>
      </c>
      <c r="AB76" s="16" t="n">
        <v>0.1506</v>
      </c>
      <c r="AC76" s="16" t="n">
        <v>0.1198</v>
      </c>
      <c r="AD76" s="16" t="n">
        <v>0.1642</v>
      </c>
      <c r="AE76" s="16" t="n">
        <v>-0.2117</v>
      </c>
      <c r="AF76" s="16" t="n">
        <v>0.1113</v>
      </c>
      <c r="AG76" s="17" t="n">
        <v>67755874.51</v>
      </c>
      <c r="AH76" s="18" t="n">
        <f aca="false">IFERROR(AVERAGE($AB76:$AF76),"")</f>
        <v>0.06684</v>
      </c>
      <c r="AI76" s="18" t="n">
        <f aca="false">IFERROR(_xlfn.STDEV.P($AB76:$AF76),"")</f>
        <v>0.140613436057868</v>
      </c>
    </row>
    <row r="77" customFormat="false" ht="14.25" hidden="false" customHeight="true" outlineLevel="0" collapsed="false">
      <c r="A77" s="11" t="s">
        <v>143</v>
      </c>
      <c r="B77" s="12" t="s">
        <v>142</v>
      </c>
      <c r="C77" s="11" t="s">
        <v>27</v>
      </c>
      <c r="D77" s="11" t="s">
        <v>60</v>
      </c>
      <c r="E77" s="11" t="s">
        <v>61</v>
      </c>
      <c r="F77" s="11" t="s">
        <v>62</v>
      </c>
      <c r="G77" s="11" t="s">
        <v>28</v>
      </c>
      <c r="H77" s="11" t="s">
        <v>37</v>
      </c>
      <c r="I77" s="11" t="s">
        <v>38</v>
      </c>
      <c r="J77" s="11" t="s">
        <v>39</v>
      </c>
      <c r="K77" s="13" t="n">
        <v>0.01</v>
      </c>
      <c r="L77" s="14" t="n">
        <v>43993</v>
      </c>
      <c r="M77" s="15" t="n">
        <v>161.91193718</v>
      </c>
      <c r="N77" s="15" t="n">
        <v>168.37240297</v>
      </c>
      <c r="O77" s="15" t="n">
        <v>172.12119608</v>
      </c>
      <c r="P77" s="15" t="n">
        <v>170.97762278</v>
      </c>
      <c r="Q77" s="15" t="n">
        <v>173.84680541</v>
      </c>
      <c r="R77" s="15" t="n">
        <v>184.14235722</v>
      </c>
      <c r="S77" s="15" t="n">
        <v>190.45765236</v>
      </c>
      <c r="T77" s="15" t="n">
        <v>173.23207593</v>
      </c>
      <c r="U77" s="15" t="n">
        <v>190.6954203</v>
      </c>
      <c r="V77" s="15" t="n">
        <v>209.26946808</v>
      </c>
      <c r="W77" s="15" t="n">
        <v>209.78966517</v>
      </c>
      <c r="X77" s="15" t="n">
        <v>191.94665228</v>
      </c>
      <c r="Y77" s="15" t="n">
        <v>200.6573063</v>
      </c>
      <c r="Z77" s="15" t="n">
        <v>199.83341794</v>
      </c>
      <c r="AA77" s="16" t="n">
        <f aca="false">Z77/Q77-1</f>
        <v>0.14947995431215</v>
      </c>
      <c r="AB77" s="16" t="n">
        <v>0.1469</v>
      </c>
      <c r="AC77" s="16" t="n">
        <v>0.117</v>
      </c>
      <c r="AD77" s="16" t="n">
        <v>0.1617</v>
      </c>
      <c r="AE77" s="16" t="n">
        <v>-0.2128</v>
      </c>
      <c r="AF77" s="16" t="n">
        <v>0.1121</v>
      </c>
      <c r="AG77" s="17" t="n">
        <v>14720469.56</v>
      </c>
      <c r="AH77" s="18" t="n">
        <f aca="false">IFERROR(AVERAGE($AB77:$AF77),"")</f>
        <v>0.06498</v>
      </c>
      <c r="AI77" s="18" t="n">
        <f aca="false">IFERROR(_xlfn.STDEV.P($AB77:$AF77),"")</f>
        <v>0.140109776960782</v>
      </c>
    </row>
    <row r="78" customFormat="false" ht="14.25" hidden="false" customHeight="true" outlineLevel="0" collapsed="false">
      <c r="A78" s="11" t="s">
        <v>144</v>
      </c>
      <c r="B78" s="12" t="s">
        <v>142</v>
      </c>
      <c r="C78" s="11" t="s">
        <v>27</v>
      </c>
      <c r="D78" s="11" t="s">
        <v>35</v>
      </c>
      <c r="E78" s="11" t="s">
        <v>36</v>
      </c>
      <c r="F78" s="11" t="s">
        <v>21</v>
      </c>
      <c r="G78" s="11" t="s">
        <v>28</v>
      </c>
      <c r="H78" s="11" t="s">
        <v>37</v>
      </c>
      <c r="I78" s="11" t="s">
        <v>24</v>
      </c>
      <c r="J78" s="11" t="s">
        <v>77</v>
      </c>
      <c r="K78" s="13" t="n">
        <v>0.014</v>
      </c>
      <c r="L78" s="14" t="n">
        <v>45798</v>
      </c>
      <c r="M78" s="15" t="n">
        <v>107.31272282</v>
      </c>
      <c r="N78" s="15" t="n">
        <v>110.02088223</v>
      </c>
      <c r="O78" s="15" t="n">
        <v>111.35655343</v>
      </c>
      <c r="P78" s="15" t="n">
        <v>111.40458061</v>
      </c>
      <c r="Q78" s="15" t="n">
        <v>111.35660114</v>
      </c>
      <c r="R78" s="15" t="n">
        <v>112.02908782</v>
      </c>
      <c r="S78" s="15" t="n">
        <v>112.22007642</v>
      </c>
      <c r="T78" s="15" t="n">
        <v>106.10857802</v>
      </c>
      <c r="U78" s="15" t="n">
        <v>115.83576749</v>
      </c>
      <c r="V78" s="15" t="n">
        <v>125.82622571</v>
      </c>
      <c r="W78" s="15" t="n">
        <v>126.42428719</v>
      </c>
      <c r="X78" s="15" t="n">
        <v>118.67628021</v>
      </c>
      <c r="Y78" s="15" t="n">
        <v>123.08293561</v>
      </c>
      <c r="Z78" s="15" t="n">
        <v>124.35709025</v>
      </c>
      <c r="AA78" s="16" t="n">
        <f aca="false">Z78/Q78-1</f>
        <v>0.116746461160892</v>
      </c>
      <c r="AB78" s="16" t="n">
        <v>0.1135</v>
      </c>
      <c r="AC78" s="16"/>
      <c r="AD78" s="16"/>
      <c r="AE78" s="16"/>
      <c r="AF78" s="16"/>
      <c r="AG78" s="17" t="n">
        <v>24688934.91</v>
      </c>
      <c r="AH78" s="18" t="n">
        <f aca="false">IFERROR(AVERAGE($AB78:$AF78),"")</f>
        <v>0.1135</v>
      </c>
      <c r="AI78" s="18" t="n">
        <f aca="false">IFERROR(_xlfn.STDEV.P($AB78:$AF78),"")</f>
        <v>0</v>
      </c>
    </row>
    <row r="79" customFormat="false" ht="14.25" hidden="false" customHeight="true" outlineLevel="0" collapsed="false">
      <c r="A79" s="11" t="s">
        <v>145</v>
      </c>
      <c r="B79" s="12" t="s">
        <v>146</v>
      </c>
      <c r="C79" s="11" t="s">
        <v>18</v>
      </c>
      <c r="D79" s="11" t="s">
        <v>60</v>
      </c>
      <c r="E79" s="11" t="s">
        <v>61</v>
      </c>
      <c r="F79" s="11" t="s">
        <v>62</v>
      </c>
      <c r="G79" s="11" t="s">
        <v>22</v>
      </c>
      <c r="H79" s="11" t="s">
        <v>37</v>
      </c>
      <c r="I79" s="11" t="s">
        <v>24</v>
      </c>
      <c r="J79" s="11" t="s">
        <v>88</v>
      </c>
      <c r="K79" s="13" t="n">
        <v>0.03</v>
      </c>
      <c r="L79" s="14" t="n">
        <v>39104</v>
      </c>
      <c r="M79" s="15" t="n">
        <v>18.3821767</v>
      </c>
      <c r="N79" s="15" t="n">
        <v>19.4832038</v>
      </c>
      <c r="O79" s="15" t="n">
        <v>19.3337946</v>
      </c>
      <c r="P79" s="15" t="n">
        <v>19.3976701</v>
      </c>
      <c r="Q79" s="15" t="n">
        <v>21.3719921</v>
      </c>
      <c r="R79" s="15" t="n">
        <v>25.2581994</v>
      </c>
      <c r="S79" s="15" t="n">
        <v>26.6220342</v>
      </c>
      <c r="T79" s="15" t="n">
        <v>24.8826976</v>
      </c>
      <c r="U79" s="15" t="n">
        <v>24.2646463</v>
      </c>
      <c r="V79" s="15" t="n">
        <v>25.3230847</v>
      </c>
      <c r="W79" s="15" t="n">
        <v>26.8096097</v>
      </c>
      <c r="X79" s="15" t="n">
        <v>27.7069306</v>
      </c>
      <c r="Y79" s="15" t="n">
        <v>27.943166</v>
      </c>
      <c r="Z79" s="15" t="n">
        <v>28.2653975</v>
      </c>
      <c r="AA79" s="16" t="n">
        <f aca="false">Z79/Q79-1</f>
        <v>0.322543886772258</v>
      </c>
      <c r="AB79" s="16" t="n">
        <v>0.3354</v>
      </c>
      <c r="AC79" s="16" t="n">
        <v>0.1</v>
      </c>
      <c r="AD79" s="16" t="n">
        <v>0.202</v>
      </c>
      <c r="AE79" s="16" t="n">
        <v>-0.0726</v>
      </c>
      <c r="AF79" s="16" t="n">
        <v>0.0576</v>
      </c>
      <c r="AG79" s="17" t="n">
        <v>31026196.71</v>
      </c>
      <c r="AH79" s="18" t="n">
        <f aca="false">IFERROR(AVERAGE($AB79:$AF79),"")</f>
        <v>0.12448</v>
      </c>
      <c r="AI79" s="18" t="n">
        <f aca="false">IFERROR(_xlfn.STDEV.P($AB79:$AF79),"")</f>
        <v>0.137411300845309</v>
      </c>
    </row>
    <row r="80" customFormat="false" ht="14.25" hidden="false" customHeight="true" outlineLevel="0" collapsed="false">
      <c r="A80" s="11" t="s">
        <v>147</v>
      </c>
      <c r="B80" s="12" t="s">
        <v>146</v>
      </c>
      <c r="C80" s="11" t="s">
        <v>27</v>
      </c>
      <c r="D80" s="11" t="s">
        <v>60</v>
      </c>
      <c r="E80" s="11" t="s">
        <v>61</v>
      </c>
      <c r="F80" s="11" t="s">
        <v>62</v>
      </c>
      <c r="G80" s="11" t="s">
        <v>56</v>
      </c>
      <c r="H80" s="11" t="s">
        <v>37</v>
      </c>
      <c r="I80" s="11" t="s">
        <v>38</v>
      </c>
      <c r="J80" s="11" t="s">
        <v>39</v>
      </c>
      <c r="K80" s="13" t="n">
        <v>0.0135</v>
      </c>
      <c r="L80" s="14" t="n">
        <v>41691</v>
      </c>
      <c r="M80" s="15" t="n">
        <v>30.8555951</v>
      </c>
      <c r="N80" s="15" t="n">
        <v>31.6816917</v>
      </c>
      <c r="O80" s="15" t="n">
        <v>32.565167</v>
      </c>
      <c r="P80" s="15" t="n">
        <v>32.3407187</v>
      </c>
      <c r="Q80" s="15" t="n">
        <v>32.7348523</v>
      </c>
      <c r="R80" s="15" t="n">
        <v>32.6461183</v>
      </c>
      <c r="S80" s="15" t="n">
        <v>32.5899573</v>
      </c>
      <c r="T80" s="15" t="n">
        <v>30.2032105</v>
      </c>
      <c r="U80" s="15" t="n">
        <v>33.6559333</v>
      </c>
      <c r="V80" s="15" t="n">
        <v>35.6360798</v>
      </c>
      <c r="W80" s="15" t="n">
        <v>34.9850712</v>
      </c>
      <c r="X80" s="15" t="n">
        <v>34.8684042</v>
      </c>
      <c r="Y80" s="15" t="n">
        <v>36.5053809</v>
      </c>
      <c r="Z80" s="15" t="n">
        <v>36.0288241</v>
      </c>
      <c r="AA80" s="16" t="n">
        <f aca="false">Z80/Q80-1</f>
        <v>0.100625833585936</v>
      </c>
      <c r="AB80" s="16" t="n">
        <v>0.1548</v>
      </c>
      <c r="AC80" s="16" t="n">
        <v>0.221</v>
      </c>
      <c r="AD80" s="16" t="n">
        <v>0.2341</v>
      </c>
      <c r="AE80" s="16" t="n">
        <v>-0.1909</v>
      </c>
      <c r="AF80" s="16" t="n">
        <v>0.1929</v>
      </c>
      <c r="AG80" s="17" t="n">
        <v>132705836.16</v>
      </c>
      <c r="AH80" s="18" t="n">
        <f aca="false">IFERROR(AVERAGE($AB80:$AF80),"")</f>
        <v>0.12238</v>
      </c>
      <c r="AI80" s="18" t="n">
        <f aca="false">IFERROR(_xlfn.STDEV.P($AB80:$AF80),"")</f>
        <v>0.158981601451237</v>
      </c>
    </row>
    <row r="81" customFormat="false" ht="14.25" hidden="false" customHeight="true" outlineLevel="0" collapsed="false">
      <c r="A81" s="11" t="s">
        <v>148</v>
      </c>
      <c r="B81" s="12" t="s">
        <v>146</v>
      </c>
      <c r="C81" s="11" t="s">
        <v>27</v>
      </c>
      <c r="D81" s="11" t="s">
        <v>60</v>
      </c>
      <c r="E81" s="11" t="s">
        <v>61</v>
      </c>
      <c r="F81" s="11" t="s">
        <v>62</v>
      </c>
      <c r="G81" s="11" t="s">
        <v>28</v>
      </c>
      <c r="H81" s="11" t="s">
        <v>37</v>
      </c>
      <c r="I81" s="11" t="s">
        <v>24</v>
      </c>
      <c r="J81" s="11" t="s">
        <v>39</v>
      </c>
      <c r="K81" s="13" t="n">
        <v>0.0135</v>
      </c>
      <c r="L81" s="14" t="n">
        <v>43305</v>
      </c>
      <c r="M81" s="15" t="n">
        <v>17.3574808</v>
      </c>
      <c r="N81" s="15" t="n">
        <v>17.8287114</v>
      </c>
      <c r="O81" s="15" t="n">
        <v>18.3381301</v>
      </c>
      <c r="P81" s="15" t="n">
        <v>18.1659464</v>
      </c>
      <c r="Q81" s="15" t="n">
        <v>18.4913822</v>
      </c>
      <c r="R81" s="15" t="n">
        <v>18.886338</v>
      </c>
      <c r="S81" s="15" t="n">
        <v>19.0870034</v>
      </c>
      <c r="T81" s="15" t="n">
        <v>17.329632</v>
      </c>
      <c r="U81" s="15" t="n">
        <v>19.2318789</v>
      </c>
      <c r="V81" s="15" t="n">
        <v>20.184136</v>
      </c>
      <c r="W81" s="15" t="n">
        <v>19.8884677</v>
      </c>
      <c r="X81" s="15" t="n">
        <v>19.6040679</v>
      </c>
      <c r="Y81" s="15" t="n">
        <v>20.753536</v>
      </c>
      <c r="Z81" s="15" t="n">
        <v>20.3440067</v>
      </c>
      <c r="AA81" s="16" t="n">
        <f aca="false">Z81/Q81-1</f>
        <v>0.100188535392449</v>
      </c>
      <c r="AB81" s="16" t="n">
        <v>0.1958</v>
      </c>
      <c r="AC81" s="16" t="n">
        <v>0.1399</v>
      </c>
      <c r="AD81" s="16" t="n">
        <v>0.1976</v>
      </c>
      <c r="AE81" s="16" t="n">
        <v>-0.2098</v>
      </c>
      <c r="AF81" s="16" t="n">
        <v>0.1377</v>
      </c>
      <c r="AG81" s="17" t="n">
        <v>53936541.19</v>
      </c>
      <c r="AH81" s="18" t="n">
        <f aca="false">IFERROR(AVERAGE($AB81:$AF81),"")</f>
        <v>0.09224</v>
      </c>
      <c r="AI81" s="18" t="n">
        <f aca="false">IFERROR(_xlfn.STDEV.P($AB81:$AF81),"")</f>
        <v>0.153226402424647</v>
      </c>
    </row>
    <row r="82" customFormat="false" ht="14.25" hidden="false" customHeight="true" outlineLevel="0" collapsed="false">
      <c r="A82" s="11" t="s">
        <v>149</v>
      </c>
      <c r="B82" s="12" t="s">
        <v>146</v>
      </c>
      <c r="C82" s="11" t="s">
        <v>27</v>
      </c>
      <c r="D82" s="11" t="s">
        <v>44</v>
      </c>
      <c r="E82" s="11" t="s">
        <v>45</v>
      </c>
      <c r="F82" s="11" t="s">
        <v>21</v>
      </c>
      <c r="G82" s="11" t="s">
        <v>28</v>
      </c>
      <c r="H82" s="11" t="s">
        <v>23</v>
      </c>
      <c r="I82" s="11" t="s">
        <v>38</v>
      </c>
      <c r="J82" s="11" t="s">
        <v>39</v>
      </c>
      <c r="K82" s="13" t="n">
        <v>0.004</v>
      </c>
      <c r="L82" s="14" t="n">
        <v>44880</v>
      </c>
      <c r="M82" s="15" t="n">
        <v>113.8636237</v>
      </c>
      <c r="N82" s="15" t="n">
        <v>114.2724911</v>
      </c>
      <c r="O82" s="15" t="n">
        <v>114.6346237</v>
      </c>
      <c r="P82" s="15" t="n">
        <v>114.9466562</v>
      </c>
      <c r="Q82" s="15" t="n">
        <v>115.3246547</v>
      </c>
      <c r="R82" s="15" t="n">
        <v>115.6467817</v>
      </c>
      <c r="S82" s="15" t="n">
        <v>115.9405809</v>
      </c>
      <c r="T82" s="15" t="n">
        <v>116.1772047</v>
      </c>
      <c r="U82" s="15" t="n">
        <v>116.4922737</v>
      </c>
      <c r="V82" s="15" t="n">
        <v>116.7681936</v>
      </c>
      <c r="W82" s="15" t="n">
        <v>117.0636339</v>
      </c>
      <c r="X82" s="15" t="n">
        <v>117.3614151</v>
      </c>
      <c r="Y82" s="15" t="n">
        <v>117.6619896</v>
      </c>
      <c r="Z82" s="15" t="n">
        <v>117.9089027</v>
      </c>
      <c r="AA82" s="16" t="n">
        <f aca="false">Z82/Q82-1</f>
        <v>0.0224084607642878</v>
      </c>
      <c r="AB82" s="16" t="n">
        <v>0.0394</v>
      </c>
      <c r="AC82" s="16" t="n">
        <v>0.0486</v>
      </c>
      <c r="AD82" s="16" t="n">
        <v>0.047</v>
      </c>
      <c r="AE82" s="16" t="n">
        <v>0.0046</v>
      </c>
      <c r="AF82" s="16"/>
      <c r="AG82" s="17" t="n">
        <v>38763916.52</v>
      </c>
      <c r="AH82" s="18" t="n">
        <f aca="false">IFERROR(AVERAGE($AB82:$AF82),"")</f>
        <v>0.0349</v>
      </c>
      <c r="AI82" s="18" t="n">
        <f aca="false">IFERROR(_xlfn.STDEV.P($AB82:$AF82),"")</f>
        <v>0.0178356384803012</v>
      </c>
    </row>
    <row r="83" customFormat="false" ht="14.25" hidden="false" customHeight="true" outlineLevel="0" collapsed="false">
      <c r="A83" s="11" t="s">
        <v>150</v>
      </c>
      <c r="B83" s="12" t="s">
        <v>146</v>
      </c>
      <c r="C83" s="11" t="s">
        <v>27</v>
      </c>
      <c r="D83" s="11" t="s">
        <v>69</v>
      </c>
      <c r="E83" s="11" t="s">
        <v>70</v>
      </c>
      <c r="F83" s="11" t="s">
        <v>71</v>
      </c>
      <c r="G83" s="11" t="s">
        <v>28</v>
      </c>
      <c r="H83" s="11" t="s">
        <v>37</v>
      </c>
      <c r="I83" s="11" t="s">
        <v>38</v>
      </c>
      <c r="J83" s="11" t="s">
        <v>39</v>
      </c>
      <c r="K83" s="13" t="n">
        <v>0.0125</v>
      </c>
      <c r="L83" s="14" t="n">
        <v>44742</v>
      </c>
      <c r="M83" s="15" t="n">
        <v>10156.4712875</v>
      </c>
      <c r="N83" s="15" t="n">
        <v>10029.0172734</v>
      </c>
      <c r="O83" s="15" t="n">
        <v>10076.5461622</v>
      </c>
      <c r="P83" s="15" t="n">
        <v>9970.6303281</v>
      </c>
      <c r="Q83" s="15" t="n">
        <v>9885.6231746</v>
      </c>
      <c r="R83" s="15" t="n">
        <v>9962.3786108</v>
      </c>
      <c r="S83" s="15" t="n">
        <v>9945.0194529</v>
      </c>
      <c r="T83" s="15" t="n">
        <v>9811.1063311</v>
      </c>
      <c r="U83" s="15" t="n">
        <v>9972.7335884</v>
      </c>
      <c r="V83" s="15" t="n">
        <v>9947.7791864</v>
      </c>
      <c r="W83" s="15" t="n">
        <v>9915.7648449</v>
      </c>
      <c r="X83" s="15" t="n">
        <v>9912.2771164</v>
      </c>
      <c r="Y83" s="15" t="n">
        <v>9812.2195143</v>
      </c>
      <c r="Z83" s="15" t="n">
        <v>9663.9657176</v>
      </c>
      <c r="AA83" s="16" t="n">
        <f aca="false">Z83/Q83-1</f>
        <v>-0.0224222037483204</v>
      </c>
      <c r="AB83" s="16" t="n">
        <v>-0.0172</v>
      </c>
      <c r="AC83" s="16" t="n">
        <v>0.0038</v>
      </c>
      <c r="AD83" s="16" t="n">
        <v>0</v>
      </c>
      <c r="AE83" s="16" t="n">
        <v>0.0023</v>
      </c>
      <c r="AF83" s="16"/>
      <c r="AG83" s="17" t="n">
        <v>43011673.48</v>
      </c>
      <c r="AH83" s="18" t="n">
        <f aca="false">IFERROR(AVERAGE($AB83:$AF83),"")</f>
        <v>-0.002775</v>
      </c>
      <c r="AI83" s="18" t="n">
        <f aca="false">IFERROR(_xlfn.STDEV.P($AB83:$AF83),"")</f>
        <v>0.00843752777773205</v>
      </c>
    </row>
    <row r="84" customFormat="false" ht="14.25" hidden="false" customHeight="true" outlineLevel="0" collapsed="false">
      <c r="A84" s="11" t="s">
        <v>151</v>
      </c>
      <c r="B84" s="12" t="s">
        <v>146</v>
      </c>
      <c r="C84" s="11" t="s">
        <v>27</v>
      </c>
      <c r="D84" s="11" t="s">
        <v>69</v>
      </c>
      <c r="E84" s="11" t="s">
        <v>152</v>
      </c>
      <c r="F84" s="11" t="s">
        <v>153</v>
      </c>
      <c r="G84" s="11" t="s">
        <v>28</v>
      </c>
      <c r="H84" s="11" t="s">
        <v>37</v>
      </c>
      <c r="I84" s="11" t="s">
        <v>24</v>
      </c>
      <c r="J84" s="11" t="s">
        <v>39</v>
      </c>
      <c r="K84" s="13" t="n">
        <v>0.01</v>
      </c>
      <c r="L84" s="14" t="n">
        <v>43286</v>
      </c>
      <c r="M84" s="15" t="n">
        <v>11185.092033</v>
      </c>
      <c r="N84" s="15" t="n">
        <v>11172.5710011</v>
      </c>
      <c r="O84" s="15" t="n">
        <v>11184.836685</v>
      </c>
      <c r="P84" s="15" t="n">
        <v>11193.632881</v>
      </c>
      <c r="Q84" s="15" t="n">
        <v>10985.6028748</v>
      </c>
      <c r="R84" s="15" t="n">
        <v>11084.9192597</v>
      </c>
      <c r="S84" s="15" t="n">
        <v>11298.0100747</v>
      </c>
      <c r="T84" s="15" t="n">
        <v>11103.3838309</v>
      </c>
      <c r="U84" s="15" t="n">
        <v>11299.0167343</v>
      </c>
      <c r="V84" s="15" t="n">
        <v>11321.441558</v>
      </c>
      <c r="W84" s="15" t="n">
        <v>11374.4929962</v>
      </c>
      <c r="X84" s="15" t="n">
        <v>11386.4819924</v>
      </c>
      <c r="Y84" s="15" t="n">
        <v>11247.6878493</v>
      </c>
      <c r="Z84" s="15" t="n">
        <v>11116.398903</v>
      </c>
      <c r="AA84" s="16" t="n">
        <f aca="false">Z84/Q84-1</f>
        <v>0.0119061311145729</v>
      </c>
      <c r="AB84" s="16" t="n">
        <v>-0.0161</v>
      </c>
      <c r="AC84" s="16" t="n">
        <v>-0.0715</v>
      </c>
      <c r="AD84" s="16" t="n">
        <v>-0.1216</v>
      </c>
      <c r="AE84" s="16" t="n">
        <v>0.0551</v>
      </c>
      <c r="AF84" s="16" t="n">
        <v>0.1873</v>
      </c>
      <c r="AG84" s="17" t="n">
        <v>205477133.68</v>
      </c>
      <c r="AH84" s="18" t="n">
        <f aca="false">IFERROR(AVERAGE($AB84:$AF84),"")</f>
        <v>0.00664</v>
      </c>
      <c r="AI84" s="18" t="n">
        <f aca="false">IFERROR(_xlfn.STDEV.P($AB84:$AF84),"")</f>
        <v>0.107754231471437</v>
      </c>
    </row>
    <row r="85" customFormat="false" ht="14.25" hidden="false" customHeight="true" outlineLevel="0" collapsed="false">
      <c r="A85" s="11" t="s">
        <v>154</v>
      </c>
      <c r="B85" s="12" t="s">
        <v>155</v>
      </c>
      <c r="C85" s="11" t="s">
        <v>27</v>
      </c>
      <c r="D85" s="11" t="s">
        <v>60</v>
      </c>
      <c r="E85" s="11" t="s">
        <v>61</v>
      </c>
      <c r="F85" s="11" t="s">
        <v>62</v>
      </c>
      <c r="G85" s="11" t="s">
        <v>56</v>
      </c>
      <c r="H85" s="11" t="s">
        <v>37</v>
      </c>
      <c r="I85" s="11" t="s">
        <v>38</v>
      </c>
      <c r="J85" s="11" t="s">
        <v>39</v>
      </c>
      <c r="K85" s="13" t="n">
        <v>0.01</v>
      </c>
      <c r="L85" s="14" t="n">
        <v>44537</v>
      </c>
      <c r="M85" s="15" t="n">
        <v>132.88753211</v>
      </c>
      <c r="N85" s="15" t="n">
        <v>137.26397872</v>
      </c>
      <c r="O85" s="15" t="n">
        <v>140.29523014</v>
      </c>
      <c r="P85" s="15" t="n">
        <v>140.48184601</v>
      </c>
      <c r="Q85" s="15" t="n">
        <v>140.31686527</v>
      </c>
      <c r="R85" s="15" t="n">
        <v>142.20896087</v>
      </c>
      <c r="S85" s="15" t="n">
        <v>140.87618539</v>
      </c>
      <c r="T85" s="15" t="n">
        <v>133.72986185</v>
      </c>
      <c r="U85" s="15" t="n">
        <v>147.50845581</v>
      </c>
      <c r="V85" s="15" t="n">
        <v>155.04595889</v>
      </c>
      <c r="W85" s="15" t="n">
        <v>153.17426947</v>
      </c>
      <c r="X85" s="15" t="n">
        <v>153.07642793</v>
      </c>
      <c r="Y85" s="15" t="n">
        <v>156.93222138</v>
      </c>
      <c r="Z85" s="15" t="n">
        <v>156.14304983</v>
      </c>
      <c r="AA85" s="16" t="n">
        <f aca="false">Z85/Q85-1</f>
        <v>0.112788897682021</v>
      </c>
      <c r="AB85" s="16" t="n">
        <v>0.1526</v>
      </c>
      <c r="AC85" s="16" t="n">
        <v>0.1853</v>
      </c>
      <c r="AD85" s="16" t="n">
        <v>0.1511</v>
      </c>
      <c r="AE85" s="16" t="n">
        <v>-0.128</v>
      </c>
      <c r="AF85" s="16" t="n">
        <v>0.0183</v>
      </c>
      <c r="AG85" s="17" t="n">
        <v>243275489.52</v>
      </c>
      <c r="AH85" s="18" t="n">
        <f aca="false">IFERROR(AVERAGE($AB85:$AF85),"")</f>
        <v>0.07586</v>
      </c>
      <c r="AI85" s="18" t="n">
        <f aca="false">IFERROR(_xlfn.STDEV.P($AB85:$AF85),"")</f>
        <v>0.116960892609453</v>
      </c>
    </row>
    <row r="86" customFormat="false" ht="14.25" hidden="false" customHeight="true" outlineLevel="0" collapsed="false">
      <c r="A86" s="11" t="s">
        <v>156</v>
      </c>
      <c r="B86" s="12" t="s">
        <v>155</v>
      </c>
      <c r="C86" s="11" t="s">
        <v>27</v>
      </c>
      <c r="D86" s="11" t="s">
        <v>35</v>
      </c>
      <c r="E86" s="11" t="s">
        <v>36</v>
      </c>
      <c r="F86" s="11" t="s">
        <v>36</v>
      </c>
      <c r="G86" s="11" t="s">
        <v>56</v>
      </c>
      <c r="H86" s="11" t="s">
        <v>46</v>
      </c>
      <c r="I86" s="11" t="s">
        <v>38</v>
      </c>
      <c r="J86" s="11" t="s">
        <v>77</v>
      </c>
      <c r="K86" s="13" t="n">
        <v>0.0085</v>
      </c>
      <c r="L86" s="14" t="n">
        <v>44196</v>
      </c>
      <c r="M86" s="15" t="n">
        <v>120.77562499</v>
      </c>
      <c r="N86" s="15" t="n">
        <v>123.43102036</v>
      </c>
      <c r="O86" s="15" t="n">
        <v>125.12780205</v>
      </c>
      <c r="P86" s="15" t="n">
        <v>126.16934536</v>
      </c>
      <c r="Q86" s="15" t="n">
        <v>125.93148239</v>
      </c>
      <c r="R86" s="15" t="n">
        <v>128.17330524</v>
      </c>
      <c r="S86" s="15" t="n">
        <v>129.89413146</v>
      </c>
      <c r="T86" s="15" t="n">
        <v>125.3552107</v>
      </c>
      <c r="U86" s="15" t="n">
        <v>129.53953649</v>
      </c>
      <c r="V86" s="15" t="n">
        <v>131.51073412</v>
      </c>
      <c r="W86" s="15" t="n">
        <v>130.88050613</v>
      </c>
      <c r="X86" s="15" t="n">
        <v>130.07771208</v>
      </c>
      <c r="Y86" s="15" t="n">
        <v>132.06517441</v>
      </c>
      <c r="Z86" s="15" t="n">
        <v>128.60431289</v>
      </c>
      <c r="AA86" s="16" t="n">
        <f aca="false">Z86/Q86-1</f>
        <v>0.0212244821491296</v>
      </c>
      <c r="AB86" s="16" t="n">
        <v>0.1188</v>
      </c>
      <c r="AC86" s="16" t="n">
        <v>0.0879</v>
      </c>
      <c r="AD86" s="16" t="n">
        <v>0.0829</v>
      </c>
      <c r="AE86" s="16" t="n">
        <v>-0.0881</v>
      </c>
      <c r="AF86" s="16" t="n">
        <v>0.0472</v>
      </c>
      <c r="AG86" s="17" t="n">
        <v>134693775.48</v>
      </c>
      <c r="AH86" s="18" t="n">
        <f aca="false">IFERROR(AVERAGE($AB86:$AF86),"")</f>
        <v>0.04974</v>
      </c>
      <c r="AI86" s="18" t="n">
        <f aca="false">IFERROR(_xlfn.STDEV.P($AB86:$AF86),"")</f>
        <v>0.0725691008625572</v>
      </c>
    </row>
    <row r="87" customFormat="false" ht="14.25" hidden="false" customHeight="true" outlineLevel="0" collapsed="false">
      <c r="A87" s="11" t="s">
        <v>157</v>
      </c>
      <c r="B87" s="12" t="s">
        <v>158</v>
      </c>
      <c r="C87" s="11" t="s">
        <v>18</v>
      </c>
      <c r="D87" s="11" t="s">
        <v>19</v>
      </c>
      <c r="E87" s="11" t="s">
        <v>20</v>
      </c>
      <c r="F87" s="11" t="s">
        <v>21</v>
      </c>
      <c r="G87" s="11" t="s">
        <v>22</v>
      </c>
      <c r="H87" s="11" t="s">
        <v>23</v>
      </c>
      <c r="I87" s="11" t="s">
        <v>24</v>
      </c>
      <c r="J87" s="11" t="s">
        <v>159</v>
      </c>
      <c r="K87" s="13" t="n">
        <v>0.0085</v>
      </c>
      <c r="L87" s="14" t="n">
        <v>42131</v>
      </c>
      <c r="M87" s="15" t="n">
        <v>140.3524</v>
      </c>
      <c r="N87" s="15" t="n">
        <v>140.7749</v>
      </c>
      <c r="O87" s="15" t="n">
        <v>141.1881</v>
      </c>
      <c r="P87" s="15" t="n">
        <v>141.6045</v>
      </c>
      <c r="Q87" s="15" t="n">
        <v>142.0293</v>
      </c>
      <c r="R87" s="15" t="n">
        <v>142.5154</v>
      </c>
      <c r="S87" s="15" t="n">
        <v>142.8528</v>
      </c>
      <c r="T87" s="15" t="n">
        <v>143.2351</v>
      </c>
      <c r="U87" s="15" t="n">
        <v>143.6632</v>
      </c>
      <c r="V87" s="15" t="n">
        <v>144.0794</v>
      </c>
      <c r="W87" s="15" t="n">
        <v>144.517</v>
      </c>
      <c r="X87" s="15" t="n">
        <v>144.9477</v>
      </c>
      <c r="Y87" s="15" t="n">
        <v>145.3831</v>
      </c>
      <c r="Z87" s="15" t="n">
        <v>145.7855</v>
      </c>
      <c r="AA87" s="16" t="n">
        <f aca="false">Z87/Q87-1</f>
        <v>0.0264466557252623</v>
      </c>
      <c r="AB87" s="16" t="n">
        <v>0.0372</v>
      </c>
      <c r="AC87" s="16" t="n">
        <v>0.049</v>
      </c>
      <c r="AD87" s="16" t="n">
        <v>0.0639</v>
      </c>
      <c r="AE87" s="16" t="n">
        <v>0.0395</v>
      </c>
      <c r="AF87" s="16" t="n">
        <v>0.0052</v>
      </c>
      <c r="AG87" s="17" t="n">
        <v>0</v>
      </c>
      <c r="AH87" s="18" t="n">
        <f aca="false">IFERROR(AVERAGE($AB87:$AF87),"")</f>
        <v>0.03896</v>
      </c>
      <c r="AI87" s="18" t="n">
        <f aca="false">IFERROR(_xlfn.STDEV.P($AB87:$AF87),"")</f>
        <v>0.019318033026165</v>
      </c>
    </row>
    <row r="88" customFormat="false" ht="14.25" hidden="false" customHeight="true" outlineLevel="0" collapsed="false">
      <c r="A88" s="11" t="s">
        <v>160</v>
      </c>
      <c r="B88" s="12" t="s">
        <v>158</v>
      </c>
      <c r="C88" s="11" t="s">
        <v>27</v>
      </c>
      <c r="D88" s="11" t="s">
        <v>19</v>
      </c>
      <c r="E88" s="11" t="s">
        <v>20</v>
      </c>
      <c r="F88" s="11" t="s">
        <v>21</v>
      </c>
      <c r="G88" s="11" t="s">
        <v>22</v>
      </c>
      <c r="H88" s="11" t="s">
        <v>23</v>
      </c>
      <c r="I88" s="11" t="s">
        <v>24</v>
      </c>
      <c r="J88" s="11" t="s">
        <v>107</v>
      </c>
      <c r="K88" s="13" t="n">
        <v>0.0062</v>
      </c>
      <c r="L88" s="14" t="n">
        <v>42192</v>
      </c>
      <c r="M88" s="15" t="n">
        <v>122.178</v>
      </c>
      <c r="N88" s="15" t="n">
        <v>122.5656</v>
      </c>
      <c r="O88" s="15" t="n">
        <v>122.9513</v>
      </c>
      <c r="P88" s="15" t="n">
        <v>123.3261</v>
      </c>
      <c r="Q88" s="15" t="n">
        <v>123.7129</v>
      </c>
      <c r="R88" s="15" t="n">
        <v>124.0798</v>
      </c>
      <c r="S88" s="15" t="n">
        <v>124.4084</v>
      </c>
      <c r="T88" s="15" t="n">
        <v>124.7592</v>
      </c>
      <c r="U88" s="15" t="n">
        <v>125.1062</v>
      </c>
      <c r="V88" s="15" t="n">
        <v>125.4425</v>
      </c>
      <c r="W88" s="15" t="n">
        <v>125.7885</v>
      </c>
      <c r="X88" s="15" t="n">
        <v>126.1394</v>
      </c>
      <c r="Y88" s="15" t="n">
        <v>126.4947</v>
      </c>
      <c r="Z88" s="15" t="n">
        <v>126.8481</v>
      </c>
      <c r="AA88" s="16" t="n">
        <f aca="false">Z88/Q88-1</f>
        <v>0.0253425471393849</v>
      </c>
      <c r="AB88" s="16" t="n">
        <v>0.0393</v>
      </c>
      <c r="AC88" s="16"/>
      <c r="AD88" s="16"/>
      <c r="AE88" s="16"/>
      <c r="AF88" s="16"/>
      <c r="AG88" s="17" t="n">
        <v>0</v>
      </c>
      <c r="AH88" s="18" t="n">
        <f aca="false">IFERROR(AVERAGE($AB88:$AF88),"")</f>
        <v>0.0393</v>
      </c>
      <c r="AI88" s="18" t="n">
        <f aca="false">IFERROR(_xlfn.STDEV.P($AB88:$AF88),"")</f>
        <v>0</v>
      </c>
    </row>
    <row r="89" customFormat="false" ht="14.25" hidden="false" customHeight="true" outlineLevel="0" collapsed="false">
      <c r="A89" s="11" t="s">
        <v>161</v>
      </c>
      <c r="B89" s="12" t="s">
        <v>158</v>
      </c>
      <c r="C89" s="11" t="s">
        <v>27</v>
      </c>
      <c r="D89" s="11" t="s">
        <v>60</v>
      </c>
      <c r="E89" s="11" t="s">
        <v>61</v>
      </c>
      <c r="F89" s="11" t="s">
        <v>62</v>
      </c>
      <c r="G89" s="11" t="s">
        <v>56</v>
      </c>
      <c r="H89" s="11" t="s">
        <v>37</v>
      </c>
      <c r="I89" s="11" t="s">
        <v>38</v>
      </c>
      <c r="J89" s="11" t="s">
        <v>39</v>
      </c>
      <c r="K89" s="13" t="n">
        <v>0.015</v>
      </c>
      <c r="L89" s="14" t="n">
        <v>44896</v>
      </c>
      <c r="M89" s="15" t="n">
        <v>74.577</v>
      </c>
      <c r="N89" s="15" t="n">
        <v>77.0042</v>
      </c>
      <c r="O89" s="15" t="n">
        <v>79.0125</v>
      </c>
      <c r="P89" s="15" t="n">
        <v>78.8837</v>
      </c>
      <c r="Q89" s="15" t="n">
        <v>78.6166</v>
      </c>
      <c r="R89" s="15" t="n">
        <v>79.5462</v>
      </c>
      <c r="S89" s="15" t="n">
        <v>78.5612</v>
      </c>
      <c r="T89" s="15" t="n">
        <v>74.411</v>
      </c>
      <c r="U89" s="15" t="n">
        <v>81.6962</v>
      </c>
      <c r="V89" s="15" t="n">
        <v>85.6523</v>
      </c>
      <c r="W89" s="15" t="n">
        <v>84.7745</v>
      </c>
      <c r="X89" s="15" t="n">
        <v>84.0231</v>
      </c>
      <c r="Y89" s="15" t="n">
        <v>86.0325</v>
      </c>
      <c r="Z89" s="15" t="n">
        <v>86.1546</v>
      </c>
      <c r="AA89" s="16" t="n">
        <f aca="false">Z89/Q89-1</f>
        <v>0.0958830577766019</v>
      </c>
      <c r="AB89" s="16" t="n">
        <v>0.1389</v>
      </c>
      <c r="AC89" s="16" t="n">
        <v>0.1869</v>
      </c>
      <c r="AD89" s="16" t="n">
        <v>0.2165</v>
      </c>
      <c r="AE89" s="16" t="n">
        <v>-0.052</v>
      </c>
      <c r="AF89" s="16"/>
      <c r="AG89" s="17" t="n">
        <v>58780076.06</v>
      </c>
      <c r="AH89" s="18" t="n">
        <f aca="false">IFERROR(AVERAGE($AB89:$AF89),"")</f>
        <v>0.122575</v>
      </c>
      <c r="AI89" s="18" t="n">
        <f aca="false">IFERROR(_xlfn.STDEV.P($AB89:$AF89),"")</f>
        <v>0.104525771343722</v>
      </c>
    </row>
    <row r="90" customFormat="false" ht="14.25" hidden="false" customHeight="true" outlineLevel="0" collapsed="false">
      <c r="A90" s="11" t="s">
        <v>162</v>
      </c>
      <c r="B90" s="12" t="s">
        <v>158</v>
      </c>
      <c r="C90" s="11" t="s">
        <v>18</v>
      </c>
      <c r="D90" s="11" t="s">
        <v>60</v>
      </c>
      <c r="E90" s="11" t="s">
        <v>61</v>
      </c>
      <c r="F90" s="11" t="s">
        <v>62</v>
      </c>
      <c r="G90" s="11" t="s">
        <v>22</v>
      </c>
      <c r="H90" s="11" t="s">
        <v>37</v>
      </c>
      <c r="I90" s="11" t="s">
        <v>24</v>
      </c>
      <c r="J90" s="11" t="s">
        <v>88</v>
      </c>
      <c r="K90" s="13" t="n">
        <v>0.02</v>
      </c>
      <c r="L90" s="14" t="n">
        <v>39101</v>
      </c>
      <c r="M90" s="15" t="n">
        <v>121.7645</v>
      </c>
      <c r="N90" s="15" t="n">
        <v>128.5292</v>
      </c>
      <c r="O90" s="15" t="n">
        <v>128.562</v>
      </c>
      <c r="P90" s="15" t="n">
        <v>129.8528</v>
      </c>
      <c r="Q90" s="15" t="n">
        <v>143.2162</v>
      </c>
      <c r="R90" s="15" t="n">
        <v>167.7228</v>
      </c>
      <c r="S90" s="15" t="n">
        <v>178.127</v>
      </c>
      <c r="T90" s="15" t="n">
        <v>167.7432</v>
      </c>
      <c r="U90" s="15" t="n">
        <v>163.03</v>
      </c>
      <c r="V90" s="15" t="n">
        <v>170.2993</v>
      </c>
      <c r="W90" s="15" t="n">
        <v>173.0083</v>
      </c>
      <c r="X90" s="15" t="n">
        <v>177.1319</v>
      </c>
      <c r="Y90" s="15" t="n">
        <v>181.1938</v>
      </c>
      <c r="Z90" s="15" t="n">
        <v>181.0887</v>
      </c>
      <c r="AA90" s="16" t="n">
        <f aca="false">Z90/Q90-1</f>
        <v>0.264442849342463</v>
      </c>
      <c r="AB90" s="16" t="n">
        <v>0.3395</v>
      </c>
      <c r="AC90" s="16" t="n">
        <v>0.0598</v>
      </c>
      <c r="AD90" s="16" t="n">
        <v>0.1398</v>
      </c>
      <c r="AE90" s="16" t="n">
        <v>-0.0743</v>
      </c>
      <c r="AF90" s="16" t="n">
        <v>0.075</v>
      </c>
      <c r="AG90" s="17" t="n">
        <v>56472901.59</v>
      </c>
      <c r="AH90" s="18" t="n">
        <f aca="false">IFERROR(AVERAGE($AB90:$AF90),"")</f>
        <v>0.10796</v>
      </c>
      <c r="AI90" s="18" t="n">
        <f aca="false">IFERROR(_xlfn.STDEV.P($AB90:$AF90),"")</f>
        <v>0.135091829508672</v>
      </c>
    </row>
    <row r="91" customFormat="false" ht="14.25" hidden="false" customHeight="true" outlineLevel="0" collapsed="false">
      <c r="A91" s="11" t="s">
        <v>163</v>
      </c>
      <c r="B91" s="12" t="s">
        <v>158</v>
      </c>
      <c r="C91" s="11" t="s">
        <v>27</v>
      </c>
      <c r="D91" s="11" t="s">
        <v>60</v>
      </c>
      <c r="E91" s="11" t="s">
        <v>61</v>
      </c>
      <c r="F91" s="11" t="s">
        <v>62</v>
      </c>
      <c r="G91" s="11" t="s">
        <v>28</v>
      </c>
      <c r="H91" s="11" t="s">
        <v>37</v>
      </c>
      <c r="I91" s="11" t="s">
        <v>38</v>
      </c>
      <c r="J91" s="11" t="s">
        <v>39</v>
      </c>
      <c r="K91" s="13" t="n">
        <v>0.01</v>
      </c>
      <c r="L91" s="14" t="n">
        <v>44281</v>
      </c>
      <c r="M91" s="15" t="n">
        <v>65.3589</v>
      </c>
      <c r="N91" s="15" t="n">
        <v>66.9722</v>
      </c>
      <c r="O91" s="15" t="n">
        <v>67.7531</v>
      </c>
      <c r="P91" s="15" t="n">
        <v>66.0801</v>
      </c>
      <c r="Q91" s="15" t="n">
        <v>67.416</v>
      </c>
      <c r="R91" s="15" t="n">
        <v>69.0273</v>
      </c>
      <c r="S91" s="15" t="n">
        <v>68.3742</v>
      </c>
      <c r="T91" s="15" t="n">
        <v>61.0988</v>
      </c>
      <c r="U91" s="15" t="n">
        <v>67.0451</v>
      </c>
      <c r="V91" s="15" t="n">
        <v>69.8955</v>
      </c>
      <c r="W91" s="15" t="n">
        <v>70.2864</v>
      </c>
      <c r="X91" s="15" t="n">
        <v>70.489</v>
      </c>
      <c r="Y91" s="15" t="n">
        <v>74.7864</v>
      </c>
      <c r="Z91" s="15" t="n">
        <v>71.1935</v>
      </c>
      <c r="AA91" s="16" t="n">
        <f aca="false">Z91/Q91-1</f>
        <v>0.0560326925358965</v>
      </c>
      <c r="AB91" s="16" t="n">
        <v>0.1577</v>
      </c>
      <c r="AC91" s="16" t="n">
        <v>0.2084</v>
      </c>
      <c r="AD91" s="16" t="n">
        <v>0.2148</v>
      </c>
      <c r="AE91" s="16" t="n">
        <v>-0.2744</v>
      </c>
      <c r="AF91" s="16" t="n">
        <v>0.0897</v>
      </c>
      <c r="AG91" s="17" t="n">
        <v>25315542.6</v>
      </c>
      <c r="AH91" s="18" t="n">
        <f aca="false">IFERROR(AVERAGE($AB91:$AF91),"")</f>
        <v>0.07924</v>
      </c>
      <c r="AI91" s="18" t="n">
        <f aca="false">IFERROR(_xlfn.STDEV.P($AB91:$AF91),"")</f>
        <v>0.182420093191512</v>
      </c>
    </row>
    <row r="92" customFormat="false" ht="14.25" hidden="false" customHeight="true" outlineLevel="0" collapsed="false">
      <c r="A92" s="11" t="s">
        <v>164</v>
      </c>
      <c r="B92" s="12" t="s">
        <v>158</v>
      </c>
      <c r="C92" s="11" t="s">
        <v>27</v>
      </c>
      <c r="D92" s="11" t="s">
        <v>60</v>
      </c>
      <c r="E92" s="11" t="s">
        <v>61</v>
      </c>
      <c r="F92" s="11" t="s">
        <v>62</v>
      </c>
      <c r="G92" s="11" t="s">
        <v>28</v>
      </c>
      <c r="H92" s="11" t="s">
        <v>37</v>
      </c>
      <c r="I92" s="11" t="s">
        <v>24</v>
      </c>
      <c r="J92" s="11" t="s">
        <v>77</v>
      </c>
      <c r="K92" s="13" t="n">
        <v>0.015</v>
      </c>
      <c r="L92" s="14" t="n">
        <v>42030</v>
      </c>
      <c r="M92" s="15" t="n">
        <v>76.7793</v>
      </c>
      <c r="N92" s="15" t="n">
        <v>79.1978</v>
      </c>
      <c r="O92" s="15" t="n">
        <v>81.1968</v>
      </c>
      <c r="P92" s="15" t="n">
        <v>80.7517</v>
      </c>
      <c r="Q92" s="15" t="n">
        <v>81.2425</v>
      </c>
      <c r="R92" s="15" t="n">
        <v>82.6206</v>
      </c>
      <c r="S92" s="15" t="n">
        <v>83.6897</v>
      </c>
      <c r="T92" s="15" t="n">
        <v>76.6879</v>
      </c>
      <c r="U92" s="15" t="n">
        <v>83.7376</v>
      </c>
      <c r="V92" s="15" t="n">
        <v>87.8669</v>
      </c>
      <c r="W92" s="15" t="n">
        <v>88.5496</v>
      </c>
      <c r="X92" s="15" t="n">
        <v>86.057</v>
      </c>
      <c r="Y92" s="15" t="n">
        <v>88.5721</v>
      </c>
      <c r="Z92" s="15" t="n">
        <v>87.6835</v>
      </c>
      <c r="AA92" s="16" t="n">
        <f aca="false">Z92/Q92-1</f>
        <v>0.0792811644151767</v>
      </c>
      <c r="AB92" s="16" t="n">
        <v>0.1613</v>
      </c>
      <c r="AC92" s="16" t="n">
        <v>0.1061</v>
      </c>
      <c r="AD92" s="16" t="n">
        <v>0.1405</v>
      </c>
      <c r="AE92" s="16" t="n">
        <v>-0.2028</v>
      </c>
      <c r="AF92" s="16" t="n">
        <v>0.1175</v>
      </c>
      <c r="AG92" s="17" t="n">
        <v>39499500.74</v>
      </c>
      <c r="AH92" s="18" t="n">
        <f aca="false">IFERROR(AVERAGE($AB92:$AF92),"")</f>
        <v>0.06452</v>
      </c>
      <c r="AI92" s="18" t="n">
        <f aca="false">IFERROR(_xlfn.STDEV.P($AB92:$AF92),"")</f>
        <v>0.135007472385791</v>
      </c>
    </row>
    <row r="93" customFormat="false" ht="14.25" hidden="false" customHeight="true" outlineLevel="0" collapsed="false">
      <c r="A93" s="11" t="s">
        <v>165</v>
      </c>
      <c r="B93" s="12" t="s">
        <v>158</v>
      </c>
      <c r="C93" s="11" t="s">
        <v>27</v>
      </c>
      <c r="D93" s="11" t="s">
        <v>44</v>
      </c>
      <c r="E93" s="11" t="s">
        <v>45</v>
      </c>
      <c r="F93" s="11" t="s">
        <v>55</v>
      </c>
      <c r="G93" s="11" t="s">
        <v>51</v>
      </c>
      <c r="H93" s="11" t="s">
        <v>37</v>
      </c>
      <c r="I93" s="11" t="s">
        <v>38</v>
      </c>
      <c r="J93" s="11" t="s">
        <v>39</v>
      </c>
      <c r="K93" s="13" t="n">
        <v>0.01</v>
      </c>
      <c r="L93" s="14" t="n">
        <v>45953</v>
      </c>
      <c r="M93" s="15" t="n">
        <v>0</v>
      </c>
      <c r="N93" s="15" t="n">
        <v>0</v>
      </c>
      <c r="O93" s="15" t="n">
        <v>50.4083</v>
      </c>
      <c r="P93" s="15" t="n">
        <v>50.7835</v>
      </c>
      <c r="Q93" s="15" t="n">
        <v>51.4238</v>
      </c>
      <c r="R93" s="15" t="n">
        <v>52.3548</v>
      </c>
      <c r="S93" s="15" t="n">
        <v>53.5196</v>
      </c>
      <c r="T93" s="15" t="n">
        <v>52.4016</v>
      </c>
      <c r="U93" s="15" t="n">
        <v>53.1983</v>
      </c>
      <c r="V93" s="15" t="n">
        <v>53.3586</v>
      </c>
      <c r="W93" s="15" t="n">
        <v>54.0329</v>
      </c>
      <c r="X93" s="15" t="n">
        <v>54.1908</v>
      </c>
      <c r="Y93" s="15" t="n">
        <v>54.8137</v>
      </c>
      <c r="Z93" s="15" t="n">
        <v>54.672</v>
      </c>
      <c r="AA93" s="16" t="n">
        <f aca="false">Z93/Q93-1</f>
        <v>0.0631653047810545</v>
      </c>
      <c r="AB93" s="16" t="n">
        <v>0.0273</v>
      </c>
      <c r="AC93" s="16"/>
      <c r="AD93" s="16"/>
      <c r="AE93" s="16"/>
      <c r="AF93" s="16"/>
      <c r="AG93" s="17" t="n">
        <v>8936641.3</v>
      </c>
      <c r="AH93" s="18" t="n">
        <f aca="false">IFERROR(AVERAGE($AB93:$AF93),"")</f>
        <v>0.0273</v>
      </c>
      <c r="AI93" s="18" t="n">
        <f aca="false">IFERROR(_xlfn.STDEV.P($AB93:$AF93),"")</f>
        <v>0</v>
      </c>
    </row>
    <row r="94" customFormat="false" ht="14.25" hidden="false" customHeight="true" outlineLevel="0" collapsed="false">
      <c r="A94" s="11" t="s">
        <v>166</v>
      </c>
      <c r="B94" s="12" t="s">
        <v>158</v>
      </c>
      <c r="C94" s="11" t="s">
        <v>27</v>
      </c>
      <c r="D94" s="11" t="s">
        <v>44</v>
      </c>
      <c r="E94" s="11" t="s">
        <v>45</v>
      </c>
      <c r="F94" s="11" t="s">
        <v>21</v>
      </c>
      <c r="G94" s="11" t="s">
        <v>28</v>
      </c>
      <c r="H94" s="11" t="s">
        <v>37</v>
      </c>
      <c r="I94" s="11" t="s">
        <v>38</v>
      </c>
      <c r="J94" s="11" t="s">
        <v>39</v>
      </c>
      <c r="K94" s="13" t="n">
        <v>0.01</v>
      </c>
      <c r="L94" s="14" t="n">
        <v>43817</v>
      </c>
      <c r="M94" s="15" t="n">
        <v>52.6309</v>
      </c>
      <c r="N94" s="15" t="n">
        <v>53.0735</v>
      </c>
      <c r="O94" s="15" t="n">
        <v>53.4587</v>
      </c>
      <c r="P94" s="15" t="n">
        <v>53.6173</v>
      </c>
      <c r="Q94" s="15" t="n">
        <v>53.7404</v>
      </c>
      <c r="R94" s="15" t="n">
        <v>53.9106</v>
      </c>
      <c r="S94" s="15" t="n">
        <v>54.3614</v>
      </c>
      <c r="T94" s="15" t="n">
        <v>52.9022</v>
      </c>
      <c r="U94" s="15" t="n">
        <v>53.6951</v>
      </c>
      <c r="V94" s="15" t="n">
        <v>54.0519</v>
      </c>
      <c r="W94" s="15" t="n">
        <v>54.4551</v>
      </c>
      <c r="X94" s="15" t="n">
        <v>53.9221</v>
      </c>
      <c r="Y94" s="15" t="n">
        <v>54.2404</v>
      </c>
      <c r="Z94" s="15" t="n">
        <v>53.0142</v>
      </c>
      <c r="AA94" s="16" t="n">
        <f aca="false">Z94/Q94-1</f>
        <v>-0.0135131111789268</v>
      </c>
      <c r="AB94" s="16" t="n">
        <v>0.0668</v>
      </c>
      <c r="AC94" s="16" t="n">
        <v>0.0345</v>
      </c>
      <c r="AD94" s="16" t="n">
        <v>0.0385</v>
      </c>
      <c r="AE94" s="16" t="n">
        <v>-0.0901</v>
      </c>
      <c r="AF94" s="16" t="n">
        <v>-0.0069</v>
      </c>
      <c r="AG94" s="17" t="n">
        <v>11554282.07</v>
      </c>
      <c r="AH94" s="18" t="n">
        <f aca="false">IFERROR(AVERAGE($AB94:$AF94),"")</f>
        <v>0.00856</v>
      </c>
      <c r="AI94" s="18" t="n">
        <f aca="false">IFERROR(_xlfn.STDEV.P($AB94:$AF94),"")</f>
        <v>0.0546516093084184</v>
      </c>
    </row>
    <row r="95" customFormat="false" ht="14.25" hidden="false" customHeight="true" outlineLevel="0" collapsed="false">
      <c r="A95" s="11" t="s">
        <v>167</v>
      </c>
      <c r="B95" s="12" t="s">
        <v>158</v>
      </c>
      <c r="C95" s="11" t="s">
        <v>27</v>
      </c>
      <c r="D95" s="11" t="s">
        <v>44</v>
      </c>
      <c r="E95" s="11" t="s">
        <v>45</v>
      </c>
      <c r="F95" s="11" t="s">
        <v>21</v>
      </c>
      <c r="G95" s="11" t="s">
        <v>22</v>
      </c>
      <c r="H95" s="11" t="s">
        <v>37</v>
      </c>
      <c r="I95" s="11" t="s">
        <v>24</v>
      </c>
      <c r="J95" s="11" t="s">
        <v>107</v>
      </c>
      <c r="K95" s="13" t="n">
        <v>0.012</v>
      </c>
      <c r="L95" s="14" t="n">
        <v>42985</v>
      </c>
      <c r="M95" s="15" t="n">
        <v>50.3395</v>
      </c>
      <c r="N95" s="15" t="n">
        <v>50.7321</v>
      </c>
      <c r="O95" s="15" t="n">
        <v>50.7702</v>
      </c>
      <c r="P95" s="15" t="n">
        <v>50.8284</v>
      </c>
      <c r="Q95" s="15" t="n">
        <v>51.0265</v>
      </c>
      <c r="R95" s="15" t="n">
        <v>51.1577</v>
      </c>
      <c r="S95" s="15" t="n">
        <v>51.5227</v>
      </c>
      <c r="T95" s="15" t="n">
        <v>50.6798</v>
      </c>
      <c r="U95" s="15" t="n">
        <v>51.3227</v>
      </c>
      <c r="V95" s="15" t="n">
        <v>51.1769</v>
      </c>
      <c r="W95" s="15" t="n">
        <v>51.4149</v>
      </c>
      <c r="X95" s="15" t="n">
        <v>51.0862</v>
      </c>
      <c r="Y95" s="15" t="n">
        <v>51.3035</v>
      </c>
      <c r="Z95" s="15" t="n">
        <v>50.0948</v>
      </c>
      <c r="AA95" s="16" t="n">
        <f aca="false">Z95/Q95-1</f>
        <v>-0.0182591398587009</v>
      </c>
      <c r="AB95" s="16" t="n">
        <v>0.0796</v>
      </c>
      <c r="AC95" s="16" t="n">
        <v>0.0428</v>
      </c>
      <c r="AD95" s="16" t="n">
        <v>0.0519</v>
      </c>
      <c r="AE95" s="16" t="n">
        <v>-0.1299</v>
      </c>
      <c r="AF95" s="16" t="n">
        <v>-0.0481</v>
      </c>
      <c r="AG95" s="17" t="n">
        <v>10702833.34</v>
      </c>
      <c r="AH95" s="18" t="n">
        <f aca="false">IFERROR(AVERAGE($AB95:$AF95),"")</f>
        <v>-0.000739999999999996</v>
      </c>
      <c r="AI95" s="18" t="n">
        <f aca="false">IFERROR(_xlfn.STDEV.P($AB95:$AF95),"")</f>
        <v>0.0775196646019576</v>
      </c>
    </row>
    <row r="96" customFormat="false" ht="14.25" hidden="false" customHeight="true" outlineLevel="0" collapsed="false">
      <c r="A96" s="11" t="s">
        <v>168</v>
      </c>
      <c r="B96" s="12" t="s">
        <v>158</v>
      </c>
      <c r="C96" s="11" t="s">
        <v>18</v>
      </c>
      <c r="D96" s="11" t="s">
        <v>44</v>
      </c>
      <c r="E96" s="11" t="s">
        <v>45</v>
      </c>
      <c r="F96" s="11" t="s">
        <v>21</v>
      </c>
      <c r="G96" s="11" t="s">
        <v>22</v>
      </c>
      <c r="H96" s="11" t="s">
        <v>46</v>
      </c>
      <c r="I96" s="11" t="s">
        <v>24</v>
      </c>
      <c r="J96" s="11" t="s">
        <v>47</v>
      </c>
      <c r="K96" s="13" t="n">
        <v>0.0135</v>
      </c>
      <c r="L96" s="14" t="n">
        <v>37329</v>
      </c>
      <c r="M96" s="15" t="n">
        <v>227.2314</v>
      </c>
      <c r="N96" s="15" t="n">
        <v>228.7931</v>
      </c>
      <c r="O96" s="15" t="n">
        <v>229.2867</v>
      </c>
      <c r="P96" s="15" t="n">
        <v>230.4947</v>
      </c>
      <c r="Q96" s="15" t="n">
        <v>231.2962</v>
      </c>
      <c r="R96" s="15" t="n">
        <v>232.6253</v>
      </c>
      <c r="S96" s="15" t="n">
        <v>233.3922</v>
      </c>
      <c r="T96" s="15" t="n">
        <v>230.8037</v>
      </c>
      <c r="U96" s="15" t="n">
        <v>233.0134</v>
      </c>
      <c r="V96" s="15" t="n">
        <v>233.8168</v>
      </c>
      <c r="W96" s="15" t="n">
        <v>235.3936</v>
      </c>
      <c r="X96" s="15" t="n">
        <v>235.6256</v>
      </c>
      <c r="Y96" s="15" t="n">
        <v>235.7626</v>
      </c>
      <c r="Z96" s="15" t="n">
        <v>233.6417</v>
      </c>
      <c r="AA96" s="16" t="n">
        <f aca="false">Z96/Q96-1</f>
        <v>0.0101406767599295</v>
      </c>
      <c r="AB96" s="16" t="n">
        <v>0.0617</v>
      </c>
      <c r="AC96" s="16" t="n">
        <v>0.064</v>
      </c>
      <c r="AD96" s="16" t="n">
        <v>0.0926</v>
      </c>
      <c r="AE96" s="16" t="n">
        <v>-0.0675</v>
      </c>
      <c r="AF96" s="16" t="n">
        <v>-0.0386</v>
      </c>
      <c r="AG96" s="17" t="n">
        <v>105017921.93</v>
      </c>
      <c r="AH96" s="18" t="n">
        <f aca="false">IFERROR(AVERAGE($AB96:$AF96),"")</f>
        <v>0.02244</v>
      </c>
      <c r="AI96" s="18" t="n">
        <f aca="false">IFERROR(_xlfn.STDEV.P($AB96:$AF96),"")</f>
        <v>0.0632551847677327</v>
      </c>
    </row>
    <row r="97" customFormat="false" ht="14.25" hidden="false" customHeight="true" outlineLevel="0" collapsed="false">
      <c r="A97" s="11" t="s">
        <v>169</v>
      </c>
      <c r="B97" s="12" t="s">
        <v>158</v>
      </c>
      <c r="C97" s="11" t="s">
        <v>27</v>
      </c>
      <c r="D97" s="11" t="s">
        <v>44</v>
      </c>
      <c r="E97" s="11" t="s">
        <v>45</v>
      </c>
      <c r="F97" s="11" t="s">
        <v>21</v>
      </c>
      <c r="G97" s="11" t="s">
        <v>22</v>
      </c>
      <c r="H97" s="11" t="s">
        <v>46</v>
      </c>
      <c r="I97" s="11" t="s">
        <v>24</v>
      </c>
      <c r="J97" s="11" t="s">
        <v>47</v>
      </c>
      <c r="K97" s="13" t="n">
        <v>0.0135</v>
      </c>
      <c r="L97" s="14" t="n">
        <v>35674</v>
      </c>
      <c r="M97" s="15" t="n">
        <v>117.6095</v>
      </c>
      <c r="N97" s="15" t="n">
        <v>118.1798</v>
      </c>
      <c r="O97" s="15" t="n">
        <v>118.3625</v>
      </c>
      <c r="P97" s="15" t="n">
        <v>118.4837</v>
      </c>
      <c r="Q97" s="15" t="n">
        <v>118.8044</v>
      </c>
      <c r="R97" s="15" t="n">
        <v>118.9676</v>
      </c>
      <c r="S97" s="15" t="n">
        <v>119.5592</v>
      </c>
      <c r="T97" s="15" t="n">
        <v>118.3332</v>
      </c>
      <c r="U97" s="15" t="n">
        <v>119.2589</v>
      </c>
      <c r="V97" s="15" t="n">
        <v>119.1285</v>
      </c>
      <c r="W97" s="15" t="n">
        <v>119.5024</v>
      </c>
      <c r="X97" s="15" t="n">
        <v>119.3633</v>
      </c>
      <c r="Y97" s="15" t="n">
        <v>119.7981</v>
      </c>
      <c r="Z97" s="15" t="n">
        <v>118.1773</v>
      </c>
      <c r="AA97" s="16" t="n">
        <f aca="false">Z97/Q97-1</f>
        <v>-0.00527842403143319</v>
      </c>
      <c r="AB97" s="16" t="n">
        <v>0.0505</v>
      </c>
      <c r="AC97" s="16" t="n">
        <v>0.0323</v>
      </c>
      <c r="AD97" s="16" t="n">
        <v>0.0331</v>
      </c>
      <c r="AE97" s="16" t="n">
        <v>-0.0439</v>
      </c>
      <c r="AF97" s="16" t="n">
        <v>-0.0142</v>
      </c>
      <c r="AG97" s="17" t="n">
        <v>96887793.14</v>
      </c>
      <c r="AH97" s="18" t="n">
        <f aca="false">IFERROR(AVERAGE($AB97:$AF97),"")</f>
        <v>0.01156</v>
      </c>
      <c r="AI97" s="18" t="n">
        <f aca="false">IFERROR(_xlfn.STDEV.P($AB97:$AF97),"")</f>
        <v>0.0350708768068322</v>
      </c>
    </row>
    <row r="98" customFormat="false" ht="14.25" hidden="false" customHeight="true" outlineLevel="0" collapsed="false">
      <c r="A98" s="11" t="s">
        <v>170</v>
      </c>
      <c r="B98" s="12" t="s">
        <v>158</v>
      </c>
      <c r="C98" s="11" t="s">
        <v>27</v>
      </c>
      <c r="D98" s="11" t="s">
        <v>35</v>
      </c>
      <c r="E98" s="11" t="s">
        <v>36</v>
      </c>
      <c r="F98" s="11" t="s">
        <v>36</v>
      </c>
      <c r="G98" s="11" t="s">
        <v>22</v>
      </c>
      <c r="H98" s="11" t="s">
        <v>171</v>
      </c>
      <c r="I98" s="11" t="s">
        <v>24</v>
      </c>
      <c r="J98" s="11" t="s">
        <v>120</v>
      </c>
      <c r="K98" s="13" t="n">
        <v>0.01</v>
      </c>
      <c r="L98" s="14" t="n">
        <v>35064</v>
      </c>
      <c r="M98" s="15" t="n">
        <v>75.6727</v>
      </c>
      <c r="N98" s="15" t="n">
        <v>78.2019</v>
      </c>
      <c r="O98" s="15" t="n">
        <v>78.6953</v>
      </c>
      <c r="P98" s="15" t="n">
        <v>79.4265</v>
      </c>
      <c r="Q98" s="15" t="n">
        <v>82.677</v>
      </c>
      <c r="R98" s="15" t="n">
        <v>88.8184</v>
      </c>
      <c r="S98" s="15" t="n">
        <v>91.2652</v>
      </c>
      <c r="T98" s="15" t="n">
        <v>87.1355</v>
      </c>
      <c r="U98" s="15" t="n">
        <v>86.4999</v>
      </c>
      <c r="V98" s="15" t="n">
        <v>88.9727</v>
      </c>
      <c r="W98" s="15" t="n">
        <v>90.1735</v>
      </c>
      <c r="X98" s="15" t="n">
        <v>91.3905</v>
      </c>
      <c r="Y98" s="15" t="n">
        <v>92.6563</v>
      </c>
      <c r="Z98" s="15" t="n">
        <v>91.4108</v>
      </c>
      <c r="AA98" s="16" t="n">
        <f aca="false">Z98/Q98-1</f>
        <v>0.105637601751394</v>
      </c>
      <c r="AB98" s="16" t="n">
        <v>0.2197</v>
      </c>
      <c r="AC98" s="16" t="n">
        <v>0.0473</v>
      </c>
      <c r="AD98" s="16" t="n">
        <v>0.1257</v>
      </c>
      <c r="AE98" s="16" t="n">
        <v>-0.0022</v>
      </c>
      <c r="AF98" s="16" t="n">
        <v>-0.0388</v>
      </c>
      <c r="AG98" s="17" t="n">
        <v>55559052.61</v>
      </c>
      <c r="AH98" s="18" t="n">
        <f aca="false">IFERROR(AVERAGE($AB98:$AF98),"")</f>
        <v>0.07034</v>
      </c>
      <c r="AI98" s="18" t="n">
        <f aca="false">IFERROR(_xlfn.STDEV.P($AB98:$AF98),"")</f>
        <v>0.0928197953025108</v>
      </c>
    </row>
    <row r="99" customFormat="false" ht="14.25" hidden="false" customHeight="true" outlineLevel="0" collapsed="false">
      <c r="A99" s="11" t="s">
        <v>172</v>
      </c>
      <c r="B99" s="12" t="s">
        <v>158</v>
      </c>
      <c r="C99" s="11" t="s">
        <v>18</v>
      </c>
      <c r="D99" s="11" t="s">
        <v>44</v>
      </c>
      <c r="E99" s="11" t="s">
        <v>45</v>
      </c>
      <c r="F99" s="11" t="s">
        <v>21</v>
      </c>
      <c r="G99" s="11" t="s">
        <v>28</v>
      </c>
      <c r="H99" s="11" t="s">
        <v>171</v>
      </c>
      <c r="I99" s="11" t="s">
        <v>24</v>
      </c>
      <c r="J99" s="11" t="s">
        <v>77</v>
      </c>
      <c r="K99" s="13" t="n">
        <v>0.02</v>
      </c>
      <c r="L99" s="14" t="n">
        <v>39385</v>
      </c>
      <c r="M99" s="15" t="n">
        <v>166.7791</v>
      </c>
      <c r="N99" s="15" t="n">
        <v>167.6225</v>
      </c>
      <c r="O99" s="15" t="n">
        <v>168.0978</v>
      </c>
      <c r="P99" s="15" t="n">
        <v>168.751</v>
      </c>
      <c r="Q99" s="15" t="n">
        <v>169.2629</v>
      </c>
      <c r="R99" s="15" t="n">
        <v>170.0674</v>
      </c>
      <c r="S99" s="15" t="n">
        <v>170.673</v>
      </c>
      <c r="T99" s="15" t="n">
        <v>170.2092</v>
      </c>
      <c r="U99" s="15" t="n">
        <v>171.188</v>
      </c>
      <c r="V99" s="15" t="n">
        <v>171.7351</v>
      </c>
      <c r="W99" s="15" t="n">
        <v>172.636</v>
      </c>
      <c r="X99" s="15" t="n">
        <v>172.969</v>
      </c>
      <c r="Y99" s="15" t="n">
        <v>173.3828</v>
      </c>
      <c r="Z99" s="15" t="n">
        <v>172.9203</v>
      </c>
      <c r="AA99" s="16" t="n">
        <f aca="false">Z99/Q99-1</f>
        <v>0.0216078065541829</v>
      </c>
      <c r="AB99" s="16" t="n">
        <v>0.0499</v>
      </c>
      <c r="AC99" s="16" t="n">
        <v>0.0862</v>
      </c>
      <c r="AD99" s="16" t="n">
        <v>0.0684</v>
      </c>
      <c r="AE99" s="16" t="n">
        <v>0.0086</v>
      </c>
      <c r="AF99" s="16" t="n">
        <v>0.0011</v>
      </c>
      <c r="AG99" s="17" t="n">
        <v>90742317.36</v>
      </c>
      <c r="AH99" s="18" t="n">
        <f aca="false">IFERROR(AVERAGE($AB99:$AF99),"")</f>
        <v>0.04284</v>
      </c>
      <c r="AI99" s="18" t="n">
        <f aca="false">IFERROR(_xlfn.STDEV.P($AB99:$AF99),"")</f>
        <v>0.0331597708074106</v>
      </c>
    </row>
    <row r="100" customFormat="false" ht="14.25" hidden="false" customHeight="true" outlineLevel="0" collapsed="false">
      <c r="A100" s="11" t="s">
        <v>173</v>
      </c>
      <c r="B100" s="12" t="s">
        <v>158</v>
      </c>
      <c r="C100" s="11" t="s">
        <v>18</v>
      </c>
      <c r="D100" s="11" t="s">
        <v>44</v>
      </c>
      <c r="E100" s="11" t="s">
        <v>45</v>
      </c>
      <c r="F100" s="11" t="s">
        <v>21</v>
      </c>
      <c r="G100" s="11" t="s">
        <v>22</v>
      </c>
      <c r="H100" s="11" t="s">
        <v>23</v>
      </c>
      <c r="I100" s="11" t="s">
        <v>24</v>
      </c>
      <c r="J100" s="11" t="s">
        <v>77</v>
      </c>
      <c r="K100" s="13" t="n">
        <v>0.01</v>
      </c>
      <c r="L100" s="14" t="n">
        <v>41229</v>
      </c>
      <c r="M100" s="15" t="n">
        <v>152.891</v>
      </c>
      <c r="N100" s="15" t="n">
        <v>153.6004</v>
      </c>
      <c r="O100" s="15" t="n">
        <v>154.0406</v>
      </c>
      <c r="P100" s="15" t="n">
        <v>154.5585</v>
      </c>
      <c r="Q100" s="15" t="n">
        <v>155.0757</v>
      </c>
      <c r="R100" s="15" t="n">
        <v>155.7956</v>
      </c>
      <c r="S100" s="15" t="n">
        <v>156.3251</v>
      </c>
      <c r="T100" s="15" t="n">
        <v>156.1506</v>
      </c>
      <c r="U100" s="15" t="n">
        <v>156.974</v>
      </c>
      <c r="V100" s="15" t="n">
        <v>157.4731</v>
      </c>
      <c r="W100" s="15" t="n">
        <v>158.1865</v>
      </c>
      <c r="X100" s="15" t="n">
        <v>158.6231</v>
      </c>
      <c r="Y100" s="15" t="n">
        <v>159.1722</v>
      </c>
      <c r="Z100" s="15" t="n">
        <v>159.0277</v>
      </c>
      <c r="AA100" s="16" t="n">
        <f aca="false">Z100/Q100-1</f>
        <v>0.0254843279765946</v>
      </c>
      <c r="AB100" s="16" t="n">
        <v>0.0461</v>
      </c>
      <c r="AC100" s="16" t="n">
        <v>0.0538</v>
      </c>
      <c r="AD100" s="16" t="n">
        <v>0.078</v>
      </c>
      <c r="AE100" s="16" t="n">
        <v>0.0026</v>
      </c>
      <c r="AF100" s="16" t="n">
        <v>-0.0101</v>
      </c>
      <c r="AG100" s="17" t="n">
        <v>0</v>
      </c>
      <c r="AH100" s="18" t="n">
        <f aca="false">IFERROR(AVERAGE($AB100:$AF100),"")</f>
        <v>0.03408</v>
      </c>
      <c r="AI100" s="18" t="n">
        <f aca="false">IFERROR(_xlfn.STDEV.P($AB100:$AF100),"")</f>
        <v>0.0328791362416959</v>
      </c>
    </row>
    <row r="101" customFormat="false" ht="14.25" hidden="false" customHeight="true" outlineLevel="0" collapsed="false">
      <c r="A101" s="11" t="s">
        <v>174</v>
      </c>
      <c r="B101" s="12" t="s">
        <v>158</v>
      </c>
      <c r="C101" s="11" t="s">
        <v>27</v>
      </c>
      <c r="D101" s="11" t="s">
        <v>44</v>
      </c>
      <c r="E101" s="11" t="s">
        <v>45</v>
      </c>
      <c r="F101" s="11" t="s">
        <v>21</v>
      </c>
      <c r="G101" s="11" t="s">
        <v>22</v>
      </c>
      <c r="H101" s="11" t="s">
        <v>171</v>
      </c>
      <c r="I101" s="11" t="s">
        <v>24</v>
      </c>
      <c r="J101" s="11" t="s">
        <v>77</v>
      </c>
      <c r="K101" s="13" t="n">
        <v>0.008</v>
      </c>
      <c r="L101" s="14" t="n">
        <v>43097</v>
      </c>
      <c r="M101" s="15" t="n">
        <v>75.3258</v>
      </c>
      <c r="N101" s="15" t="n">
        <v>75.654</v>
      </c>
      <c r="O101" s="15" t="n">
        <v>75.8809</v>
      </c>
      <c r="P101" s="15" t="n">
        <v>76.0677</v>
      </c>
      <c r="Q101" s="15" t="n">
        <v>76.3233</v>
      </c>
      <c r="R101" s="15" t="n">
        <v>76.5646</v>
      </c>
      <c r="S101" s="15" t="n">
        <v>76.8691</v>
      </c>
      <c r="T101" s="15" t="n">
        <v>76.7793</v>
      </c>
      <c r="U101" s="15" t="n">
        <v>77.0534</v>
      </c>
      <c r="V101" s="15" t="n">
        <v>77.2113</v>
      </c>
      <c r="W101" s="15" t="n">
        <v>77.4147</v>
      </c>
      <c r="X101" s="15" t="n">
        <v>77.602</v>
      </c>
      <c r="Y101" s="15" t="n">
        <v>77.8574</v>
      </c>
      <c r="Z101" s="15" t="n">
        <v>77.9524</v>
      </c>
      <c r="AA101" s="16" t="n">
        <f aca="false">Z101/Q101-1</f>
        <v>0.0213447269706628</v>
      </c>
      <c r="AB101" s="16" t="n">
        <v>0.0442</v>
      </c>
      <c r="AC101" s="16" t="n">
        <v>0.0414</v>
      </c>
      <c r="AD101" s="16" t="n">
        <v>0.0504</v>
      </c>
      <c r="AE101" s="16" t="n">
        <v>0.0282</v>
      </c>
      <c r="AF101" s="16" t="n">
        <v>0.0217</v>
      </c>
      <c r="AG101" s="17" t="n">
        <v>169486028.19</v>
      </c>
      <c r="AH101" s="18" t="n">
        <f aca="false">IFERROR(AVERAGE($AB101:$AF101),"")</f>
        <v>0.03718</v>
      </c>
      <c r="AI101" s="18" t="n">
        <f aca="false">IFERROR(_xlfn.STDEV.P($AB101:$AF101),"")</f>
        <v>0.0106030938881064</v>
      </c>
    </row>
    <row r="102" customFormat="false" ht="14.25" hidden="false" customHeight="true" outlineLevel="0" collapsed="false">
      <c r="A102" s="11" t="s">
        <v>175</v>
      </c>
      <c r="B102" s="12" t="s">
        <v>158</v>
      </c>
      <c r="C102" s="11" t="s">
        <v>18</v>
      </c>
      <c r="D102" s="11" t="s">
        <v>35</v>
      </c>
      <c r="E102" s="11" t="s">
        <v>36</v>
      </c>
      <c r="F102" s="11" t="s">
        <v>36</v>
      </c>
      <c r="G102" s="11" t="s">
        <v>22</v>
      </c>
      <c r="H102" s="11" t="s">
        <v>171</v>
      </c>
      <c r="I102" s="11" t="s">
        <v>24</v>
      </c>
      <c r="J102" s="11" t="s">
        <v>77</v>
      </c>
      <c r="K102" s="13" t="n">
        <v>0.01</v>
      </c>
      <c r="L102" s="14" t="n">
        <v>44557</v>
      </c>
      <c r="M102" s="15" t="n">
        <v>111.2412</v>
      </c>
      <c r="N102" s="15" t="n">
        <v>113.2251</v>
      </c>
      <c r="O102" s="15" t="n">
        <v>114.7731</v>
      </c>
      <c r="P102" s="15" t="n">
        <v>114.7608</v>
      </c>
      <c r="Q102" s="15" t="n">
        <v>115.2553</v>
      </c>
      <c r="R102" s="15" t="n">
        <v>116.3693</v>
      </c>
      <c r="S102" s="15" t="n">
        <v>117.5868</v>
      </c>
      <c r="T102" s="15" t="n">
        <v>111.5231</v>
      </c>
      <c r="U102" s="15" t="n">
        <v>116.8493</v>
      </c>
      <c r="V102" s="15" t="n">
        <v>119.8677</v>
      </c>
      <c r="W102" s="15" t="n">
        <v>120.9094</v>
      </c>
      <c r="X102" s="15" t="n">
        <v>118.915</v>
      </c>
      <c r="Y102" s="15" t="n">
        <v>121.1143</v>
      </c>
      <c r="Z102" s="15" t="n">
        <v>119.6517</v>
      </c>
      <c r="AA102" s="16" t="n">
        <f aca="false">Z102/Q102-1</f>
        <v>0.0381448835758529</v>
      </c>
      <c r="AB102" s="16" t="n">
        <v>0.1107</v>
      </c>
      <c r="AC102" s="16" t="n">
        <v>0.0662</v>
      </c>
      <c r="AD102" s="16" t="n">
        <v>0.1038</v>
      </c>
      <c r="AE102" s="16" t="n">
        <v>-0.1201</v>
      </c>
      <c r="AF102" s="16" t="n">
        <v>-0.0005</v>
      </c>
      <c r="AG102" s="17" t="n">
        <v>53712776.24</v>
      </c>
      <c r="AH102" s="18" t="n">
        <f aca="false">IFERROR(AVERAGE($AB102:$AF102),"")</f>
        <v>0.03202</v>
      </c>
      <c r="AI102" s="18" t="n">
        <f aca="false">IFERROR(_xlfn.STDEV.P($AB102:$AF102),"")</f>
        <v>0.0856845703729674</v>
      </c>
    </row>
    <row r="103" customFormat="false" ht="14.25" hidden="false" customHeight="true" outlineLevel="0" collapsed="false">
      <c r="A103" s="11" t="s">
        <v>176</v>
      </c>
      <c r="B103" s="12" t="s">
        <v>158</v>
      </c>
      <c r="C103" s="11" t="s">
        <v>27</v>
      </c>
      <c r="D103" s="11" t="s">
        <v>44</v>
      </c>
      <c r="E103" s="11" t="s">
        <v>45</v>
      </c>
      <c r="F103" s="11" t="s">
        <v>21</v>
      </c>
      <c r="G103" s="11" t="s">
        <v>22</v>
      </c>
      <c r="H103" s="11" t="s">
        <v>23</v>
      </c>
      <c r="I103" s="11" t="s">
        <v>24</v>
      </c>
      <c r="J103" s="11" t="s">
        <v>77</v>
      </c>
      <c r="K103" s="13" t="n">
        <v>0.0125</v>
      </c>
      <c r="L103" s="14" t="n">
        <v>41614</v>
      </c>
      <c r="M103" s="15" t="n">
        <v>62.1529</v>
      </c>
      <c r="N103" s="15" t="n">
        <v>62.4223</v>
      </c>
      <c r="O103" s="15" t="n">
        <v>62.5997</v>
      </c>
      <c r="P103" s="15" t="n">
        <v>62.7662</v>
      </c>
      <c r="Q103" s="15" t="n">
        <v>62.9832</v>
      </c>
      <c r="R103" s="15" t="n">
        <v>63.1725</v>
      </c>
      <c r="S103" s="15" t="n">
        <v>63.4011</v>
      </c>
      <c r="T103" s="15" t="n">
        <v>63.3575</v>
      </c>
      <c r="U103" s="15" t="n">
        <v>63.6144</v>
      </c>
      <c r="V103" s="15" t="n">
        <v>63.7101</v>
      </c>
      <c r="W103" s="15" t="n">
        <v>63.8937</v>
      </c>
      <c r="X103" s="15" t="n">
        <v>64.0615</v>
      </c>
      <c r="Y103" s="15" t="n">
        <v>64.2785</v>
      </c>
      <c r="Z103" s="15" t="n">
        <v>64.2173</v>
      </c>
      <c r="AA103" s="16" t="n">
        <f aca="false">Z103/Q103-1</f>
        <v>0.0195941139859517</v>
      </c>
      <c r="AB103" s="16" t="n">
        <v>0.0446</v>
      </c>
      <c r="AC103" s="16" t="n">
        <v>0.0425</v>
      </c>
      <c r="AD103" s="16" t="n">
        <v>0.0354</v>
      </c>
      <c r="AE103" s="16" t="n">
        <v>0.0162</v>
      </c>
      <c r="AF103" s="16"/>
      <c r="AG103" s="17" t="n">
        <v>0</v>
      </c>
      <c r="AH103" s="18" t="n">
        <f aca="false">IFERROR(AVERAGE($AB103:$AF103),"")</f>
        <v>0.034675</v>
      </c>
      <c r="AI103" s="18" t="n">
        <f aca="false">IFERROR(_xlfn.STDEV.P($AB103:$AF103),"")</f>
        <v>0.0111980746112892</v>
      </c>
    </row>
    <row r="104" customFormat="false" ht="14.25" hidden="false" customHeight="true" outlineLevel="0" collapsed="false">
      <c r="A104" s="11" t="s">
        <v>177</v>
      </c>
      <c r="B104" s="12" t="s">
        <v>158</v>
      </c>
      <c r="C104" s="11" t="s">
        <v>27</v>
      </c>
      <c r="D104" s="11" t="s">
        <v>35</v>
      </c>
      <c r="E104" s="11" t="s">
        <v>36</v>
      </c>
      <c r="F104" s="11" t="s">
        <v>36</v>
      </c>
      <c r="G104" s="11" t="s">
        <v>22</v>
      </c>
      <c r="H104" s="11" t="s">
        <v>171</v>
      </c>
      <c r="I104" s="11" t="s">
        <v>24</v>
      </c>
      <c r="J104" s="11" t="s">
        <v>77</v>
      </c>
      <c r="K104" s="13" t="n">
        <v>0.0085</v>
      </c>
      <c r="L104" s="14" t="n">
        <v>44557</v>
      </c>
      <c r="M104" s="15" t="n">
        <v>53.3898</v>
      </c>
      <c r="N104" s="15" t="n">
        <v>54.3442</v>
      </c>
      <c r="O104" s="15" t="n">
        <v>55.1088</v>
      </c>
      <c r="P104" s="15" t="n">
        <v>55.1081</v>
      </c>
      <c r="Q104" s="15" t="n">
        <v>55.3155</v>
      </c>
      <c r="R104" s="15" t="n">
        <v>55.8217</v>
      </c>
      <c r="S104" s="15" t="n">
        <v>56.3659</v>
      </c>
      <c r="T104" s="15" t="n">
        <v>53.4821</v>
      </c>
      <c r="U104" s="15" t="n">
        <v>55.8965</v>
      </c>
      <c r="V104" s="15" t="n">
        <v>57.2475</v>
      </c>
      <c r="W104" s="15" t="n">
        <v>57.7344</v>
      </c>
      <c r="X104" s="15" t="n">
        <v>56.6879</v>
      </c>
      <c r="Y104" s="15" t="n">
        <v>57.6361</v>
      </c>
      <c r="Z104" s="15" t="n">
        <v>56.977</v>
      </c>
      <c r="AA104" s="16" t="n">
        <f aca="false">Z104/Q104-1</f>
        <v>0.0300367889651183</v>
      </c>
      <c r="AB104" s="16" t="n">
        <v>0.1099</v>
      </c>
      <c r="AC104" s="16" t="n">
        <v>0.0668</v>
      </c>
      <c r="AD104" s="16" t="n">
        <v>0.0832</v>
      </c>
      <c r="AE104" s="16" t="n">
        <v>-0.1385</v>
      </c>
      <c r="AF104" s="16" t="n">
        <v>-0.0003</v>
      </c>
      <c r="AG104" s="17" t="n">
        <v>60827252.99</v>
      </c>
      <c r="AH104" s="18" t="n">
        <f aca="false">IFERROR(AVERAGE($AB104:$AF104),"")</f>
        <v>0.02422</v>
      </c>
      <c r="AI104" s="18" t="n">
        <f aca="false">IFERROR(_xlfn.STDEV.P($AB104:$AF104),"")</f>
        <v>0.089119905745013</v>
      </c>
    </row>
    <row r="105" customFormat="false" ht="14.25" hidden="false" customHeight="true" outlineLevel="0" collapsed="false">
      <c r="A105" s="11" t="s">
        <v>178</v>
      </c>
      <c r="B105" s="12" t="s">
        <v>158</v>
      </c>
      <c r="C105" s="11" t="s">
        <v>27</v>
      </c>
      <c r="D105" s="11" t="s">
        <v>69</v>
      </c>
      <c r="E105" s="11" t="s">
        <v>179</v>
      </c>
      <c r="F105" s="11" t="s">
        <v>153</v>
      </c>
      <c r="G105" s="11" t="s">
        <v>28</v>
      </c>
      <c r="H105" s="11" t="s">
        <v>37</v>
      </c>
      <c r="I105" s="11" t="s">
        <v>38</v>
      </c>
      <c r="J105" s="11" t="s">
        <v>39</v>
      </c>
      <c r="K105" s="13" t="n">
        <v>0.0125</v>
      </c>
      <c r="L105" s="14" t="n">
        <v>44466</v>
      </c>
      <c r="M105" s="15" t="n">
        <v>57.5744</v>
      </c>
      <c r="N105" s="15" t="n">
        <v>57.4891</v>
      </c>
      <c r="O105" s="15" t="n">
        <v>57.6744</v>
      </c>
      <c r="P105" s="15" t="n">
        <v>57.8355</v>
      </c>
      <c r="Q105" s="15" t="n">
        <v>57.4368</v>
      </c>
      <c r="R105" s="15" t="n">
        <v>57.4093</v>
      </c>
      <c r="S105" s="15" t="n">
        <v>52.5476</v>
      </c>
      <c r="T105" s="15" t="n">
        <v>52.4931</v>
      </c>
      <c r="U105" s="15" t="n">
        <v>52.6043</v>
      </c>
      <c r="V105" s="15" t="n">
        <v>52.7367</v>
      </c>
      <c r="W105" s="15" t="n">
        <v>52.7198</v>
      </c>
      <c r="X105" s="15" t="n">
        <v>51.0116</v>
      </c>
      <c r="Y105" s="15" t="n">
        <v>51.0611</v>
      </c>
      <c r="Z105" s="15" t="n">
        <v>50.9844</v>
      </c>
      <c r="AA105" s="16" t="n">
        <f aca="false">Z105/Q105-1</f>
        <v>-0.112339127527996</v>
      </c>
      <c r="AB105" s="16" t="n">
        <v>0.0282</v>
      </c>
      <c r="AC105" s="16" t="n">
        <v>0.0306</v>
      </c>
      <c r="AD105" s="16" t="n">
        <v>0.0246</v>
      </c>
      <c r="AE105" s="16" t="n">
        <v>0.0504</v>
      </c>
      <c r="AF105" s="16" t="n">
        <v>0.0053</v>
      </c>
      <c r="AG105" s="17" t="n">
        <v>266520127.43</v>
      </c>
      <c r="AH105" s="18" t="n">
        <f aca="false">IFERROR(AVERAGE($AB105:$AF105),"")</f>
        <v>0.02782</v>
      </c>
      <c r="AI105" s="18" t="n">
        <f aca="false">IFERROR(_xlfn.STDEV.P($AB105:$AF105),"")</f>
        <v>0.0143892181858501</v>
      </c>
    </row>
    <row r="106" customFormat="false" ht="14.25" hidden="false" customHeight="true" outlineLevel="0" collapsed="false">
      <c r="A106" s="11" t="s">
        <v>180</v>
      </c>
      <c r="B106" s="12" t="s">
        <v>181</v>
      </c>
      <c r="C106" s="11" t="s">
        <v>27</v>
      </c>
      <c r="D106" s="11" t="s">
        <v>60</v>
      </c>
      <c r="E106" s="11" t="s">
        <v>61</v>
      </c>
      <c r="F106" s="11" t="s">
        <v>62</v>
      </c>
      <c r="G106" s="11" t="s">
        <v>28</v>
      </c>
      <c r="H106" s="11" t="s">
        <v>37</v>
      </c>
      <c r="I106" s="11" t="s">
        <v>24</v>
      </c>
      <c r="J106" s="11" t="s">
        <v>88</v>
      </c>
      <c r="K106" s="13" t="n">
        <v>0.01</v>
      </c>
      <c r="L106" s="14" t="n">
        <v>36174</v>
      </c>
      <c r="M106" s="15" t="n">
        <v>3.75592366</v>
      </c>
      <c r="N106" s="15" t="n">
        <v>4.00156769</v>
      </c>
      <c r="O106" s="15" t="n">
        <v>4.11868212</v>
      </c>
      <c r="P106" s="15" t="n">
        <v>4.14131533</v>
      </c>
      <c r="Q106" s="15" t="n">
        <v>4.6522974</v>
      </c>
      <c r="R106" s="15" t="n">
        <v>5.36922162</v>
      </c>
      <c r="S106" s="15" t="n">
        <v>5.59694336</v>
      </c>
      <c r="T106" s="15" t="n">
        <v>5.04838918</v>
      </c>
      <c r="U106" s="15" t="n">
        <v>4.93153553</v>
      </c>
      <c r="V106" s="15" t="n">
        <v>5.19505546</v>
      </c>
      <c r="W106" s="15" t="n">
        <v>5.53089128</v>
      </c>
      <c r="X106" s="15" t="n">
        <v>5.62540649</v>
      </c>
      <c r="Y106" s="15" t="n">
        <v>5.67757414</v>
      </c>
      <c r="Z106" s="15" t="n">
        <v>5.61983483</v>
      </c>
      <c r="AA106" s="16" t="n">
        <f aca="false">Z106/Q106-1</f>
        <v>0.207969815085338</v>
      </c>
      <c r="AB106" s="16" t="n">
        <v>0.4809</v>
      </c>
      <c r="AC106" s="16" t="n">
        <v>0.0488</v>
      </c>
      <c r="AD106" s="16" t="n">
        <v>0.0595</v>
      </c>
      <c r="AE106" s="16" t="n">
        <v>-0.0381</v>
      </c>
      <c r="AF106" s="16" t="n">
        <v>0.03</v>
      </c>
      <c r="AG106" s="17" t="n">
        <v>5294863.4</v>
      </c>
      <c r="AH106" s="18" t="n">
        <f aca="false">IFERROR(AVERAGE($AB106:$AF106),"")</f>
        <v>0.11622</v>
      </c>
      <c r="AI106" s="18" t="n">
        <f aca="false">IFERROR(_xlfn.STDEV.P($AB106:$AF106),"")</f>
        <v>0.18547380839353</v>
      </c>
    </row>
    <row r="107" customFormat="false" ht="14.25" hidden="false" customHeight="true" outlineLevel="0" collapsed="false">
      <c r="A107" s="11" t="s">
        <v>182</v>
      </c>
      <c r="B107" s="12" t="s">
        <v>183</v>
      </c>
      <c r="C107" s="11" t="s">
        <v>27</v>
      </c>
      <c r="D107" s="11" t="s">
        <v>60</v>
      </c>
      <c r="E107" s="11" t="s">
        <v>61</v>
      </c>
      <c r="F107" s="11" t="s">
        <v>62</v>
      </c>
      <c r="G107" s="11" t="s">
        <v>28</v>
      </c>
      <c r="H107" s="11" t="s">
        <v>37</v>
      </c>
      <c r="I107" s="11" t="s">
        <v>24</v>
      </c>
      <c r="J107" s="11" t="s">
        <v>39</v>
      </c>
      <c r="K107" s="13" t="n">
        <v>0.013</v>
      </c>
      <c r="L107" s="14" t="n">
        <v>45103</v>
      </c>
      <c r="M107" s="15" t="n">
        <v>14.06124636</v>
      </c>
      <c r="N107" s="15" t="n">
        <v>14.69585929</v>
      </c>
      <c r="O107" s="15" t="n">
        <v>14.943735</v>
      </c>
      <c r="P107" s="15" t="n">
        <v>15.0903176</v>
      </c>
      <c r="Q107" s="15" t="n">
        <v>15.17619319</v>
      </c>
      <c r="R107" s="15" t="n">
        <v>15.70312331</v>
      </c>
      <c r="S107" s="15" t="n">
        <v>16.24513848</v>
      </c>
      <c r="T107" s="15" t="n">
        <v>14.97286609</v>
      </c>
      <c r="U107" s="15" t="n">
        <v>16.70728544</v>
      </c>
      <c r="V107" s="15" t="n">
        <v>17.92063681</v>
      </c>
      <c r="W107" s="15" t="n">
        <v>17.4685482</v>
      </c>
      <c r="X107" s="15" t="n">
        <v>16.02439348</v>
      </c>
      <c r="Y107" s="15" t="n">
        <v>16.57486132</v>
      </c>
      <c r="Z107" s="15" t="n">
        <v>16.62054907</v>
      </c>
      <c r="AA107" s="16" t="n">
        <f aca="false">Z107/Q107-1</f>
        <v>0.0951724758585522</v>
      </c>
      <c r="AB107" s="16" t="n">
        <v>0.2089</v>
      </c>
      <c r="AC107" s="16" t="n">
        <v>0.1545</v>
      </c>
      <c r="AD107" s="16" t="n">
        <v>0.0797</v>
      </c>
      <c r="AE107" s="16"/>
      <c r="AF107" s="16"/>
      <c r="AG107" s="17" t="n">
        <v>0</v>
      </c>
      <c r="AH107" s="18" t="n">
        <f aca="false">IFERROR(AVERAGE($AB107:$AF107),"")</f>
        <v>0.1477</v>
      </c>
      <c r="AI107" s="18" t="n">
        <f aca="false">IFERROR(_xlfn.STDEV.P($AB107:$AF107),"")</f>
        <v>0.0529643905531506</v>
      </c>
    </row>
    <row r="108" customFormat="false" ht="14.25" hidden="false" customHeight="true" outlineLevel="0" collapsed="false">
      <c r="A108" s="11" t="s">
        <v>184</v>
      </c>
      <c r="B108" s="12" t="s">
        <v>183</v>
      </c>
      <c r="C108" s="11" t="s">
        <v>18</v>
      </c>
      <c r="D108" s="11" t="s">
        <v>44</v>
      </c>
      <c r="E108" s="11" t="s">
        <v>45</v>
      </c>
      <c r="F108" s="11" t="s">
        <v>21</v>
      </c>
      <c r="G108" s="11" t="s">
        <v>22</v>
      </c>
      <c r="H108" s="11" t="s">
        <v>23</v>
      </c>
      <c r="I108" s="11" t="s">
        <v>24</v>
      </c>
      <c r="J108" s="11" t="s">
        <v>25</v>
      </c>
      <c r="K108" s="13" t="n">
        <v>0.009</v>
      </c>
      <c r="L108" s="14" t="n">
        <v>45386</v>
      </c>
      <c r="M108" s="15" t="n">
        <v>11.02364354</v>
      </c>
      <c r="N108" s="15" t="n">
        <v>11.05512832</v>
      </c>
      <c r="O108" s="15" t="n">
        <v>11.0872346</v>
      </c>
      <c r="P108" s="15" t="n">
        <v>11.12097043</v>
      </c>
      <c r="Q108" s="15" t="n">
        <v>11.15978135</v>
      </c>
      <c r="R108" s="15" t="n">
        <v>11.19525206</v>
      </c>
      <c r="S108" s="15" t="n">
        <v>11.22416049</v>
      </c>
      <c r="T108" s="15" t="n">
        <v>11.256129</v>
      </c>
      <c r="U108" s="15" t="n">
        <v>11.29691435</v>
      </c>
      <c r="V108" s="15" t="n">
        <v>11.33166283</v>
      </c>
      <c r="W108" s="15" t="n">
        <v>11.37850547</v>
      </c>
      <c r="X108" s="15" t="n">
        <v>11.4212314</v>
      </c>
      <c r="Y108" s="15" t="n">
        <v>11.4608528</v>
      </c>
      <c r="Z108" s="15" t="n">
        <v>11.46780917</v>
      </c>
      <c r="AA108" s="16" t="n">
        <f aca="false">Z108/Q108-1</f>
        <v>0.0276015999184429</v>
      </c>
      <c r="AB108" s="16" t="n">
        <v>0.0405</v>
      </c>
      <c r="AC108" s="16" t="n">
        <v>0.0343</v>
      </c>
      <c r="AD108" s="16"/>
      <c r="AE108" s="16"/>
      <c r="AF108" s="16"/>
      <c r="AG108" s="17" t="n">
        <v>0</v>
      </c>
      <c r="AH108" s="18" t="n">
        <f aca="false">IFERROR(AVERAGE($AB108:$AF108),"")</f>
        <v>0.0374</v>
      </c>
      <c r="AI108" s="18" t="n">
        <f aca="false">IFERROR(_xlfn.STDEV.P($AB108:$AF108),"")</f>
        <v>0.0031</v>
      </c>
    </row>
    <row r="109" customFormat="false" ht="14.25" hidden="false" customHeight="true" outlineLevel="0" collapsed="false">
      <c r="A109" s="11" t="s">
        <v>185</v>
      </c>
      <c r="B109" s="12" t="s">
        <v>183</v>
      </c>
      <c r="C109" s="11" t="s">
        <v>27</v>
      </c>
      <c r="D109" s="11" t="s">
        <v>44</v>
      </c>
      <c r="E109" s="11" t="s">
        <v>45</v>
      </c>
      <c r="F109" s="11" t="s">
        <v>21</v>
      </c>
      <c r="G109" s="11" t="s">
        <v>22</v>
      </c>
      <c r="H109" s="11" t="s">
        <v>23</v>
      </c>
      <c r="I109" s="11" t="s">
        <v>24</v>
      </c>
      <c r="J109" s="11" t="s">
        <v>25</v>
      </c>
      <c r="K109" s="13" t="n">
        <v>0.009</v>
      </c>
      <c r="L109" s="14" t="n">
        <v>45505</v>
      </c>
      <c r="M109" s="15" t="n">
        <v>10.85450275</v>
      </c>
      <c r="N109" s="15" t="n">
        <v>10.8847433</v>
      </c>
      <c r="O109" s="15" t="n">
        <v>10.91471038</v>
      </c>
      <c r="P109" s="15" t="n">
        <v>10.9398889</v>
      </c>
      <c r="Q109" s="15" t="n">
        <v>10.96834805</v>
      </c>
      <c r="R109" s="15" t="n">
        <v>10.99620053</v>
      </c>
      <c r="S109" s="15" t="n">
        <v>11.02189392</v>
      </c>
      <c r="T109" s="15" t="n">
        <v>11.04055233</v>
      </c>
      <c r="U109" s="15" t="n">
        <v>11.07465228</v>
      </c>
      <c r="V109" s="15" t="n">
        <v>11.10271188</v>
      </c>
      <c r="W109" s="15" t="n">
        <v>11.13847723</v>
      </c>
      <c r="X109" s="15" t="n">
        <v>11.17070896</v>
      </c>
      <c r="Y109" s="15" t="n">
        <v>11.2038789</v>
      </c>
      <c r="Z109" s="15" t="n">
        <v>11.20615871</v>
      </c>
      <c r="AA109" s="16" t="n">
        <f aca="false">Z109/Q109-1</f>
        <v>0.0216815384519093</v>
      </c>
      <c r="AB109" s="16" t="n">
        <v>0.0313</v>
      </c>
      <c r="AC109" s="16" t="n">
        <v>0.0168</v>
      </c>
      <c r="AD109" s="16"/>
      <c r="AE109" s="16"/>
      <c r="AF109" s="16"/>
      <c r="AG109" s="17" t="n">
        <v>0</v>
      </c>
      <c r="AH109" s="18" t="n">
        <f aca="false">IFERROR(AVERAGE($AB109:$AF109),"")</f>
        <v>0.02405</v>
      </c>
      <c r="AI109" s="18" t="n">
        <f aca="false">IFERROR(_xlfn.STDEV.P($AB109:$AF109),"")</f>
        <v>0.00725</v>
      </c>
    </row>
    <row r="110" customFormat="false" ht="14.25" hidden="false" customHeight="true" outlineLevel="0" collapsed="false">
      <c r="A110" s="11" t="s">
        <v>186</v>
      </c>
      <c r="B110" s="12" t="s">
        <v>187</v>
      </c>
      <c r="C110" s="11" t="s">
        <v>27</v>
      </c>
      <c r="D110" s="11" t="s">
        <v>60</v>
      </c>
      <c r="E110" s="11" t="s">
        <v>61</v>
      </c>
      <c r="F110" s="11" t="s">
        <v>62</v>
      </c>
      <c r="G110" s="11" t="s">
        <v>56</v>
      </c>
      <c r="H110" s="11" t="s">
        <v>37</v>
      </c>
      <c r="I110" s="11" t="s">
        <v>24</v>
      </c>
      <c r="J110" s="11" t="s">
        <v>39</v>
      </c>
      <c r="K110" s="13" t="n">
        <v>0.014</v>
      </c>
      <c r="L110" s="14" t="n">
        <v>41809</v>
      </c>
      <c r="M110" s="15" t="n">
        <v>28.07264287</v>
      </c>
      <c r="N110" s="15" t="n">
        <v>28.4046906</v>
      </c>
      <c r="O110" s="15" t="n">
        <v>28.84756932</v>
      </c>
      <c r="P110" s="15" t="n">
        <v>28.75652939</v>
      </c>
      <c r="Q110" s="15" t="n">
        <v>28.69311574</v>
      </c>
      <c r="R110" s="15" t="n">
        <v>28.52808788</v>
      </c>
      <c r="S110" s="15" t="n">
        <v>27.81962376</v>
      </c>
      <c r="T110" s="15" t="n">
        <v>25.09399522</v>
      </c>
      <c r="U110" s="15" t="n">
        <v>28.69413416</v>
      </c>
      <c r="V110" s="15" t="n">
        <v>29.96723929</v>
      </c>
      <c r="W110" s="15" t="n">
        <v>28.98265851</v>
      </c>
      <c r="X110" s="15" t="n">
        <v>28.80542537</v>
      </c>
      <c r="Y110" s="15" t="n">
        <v>29.64785643</v>
      </c>
      <c r="Z110" s="15" t="n">
        <v>29.40293619</v>
      </c>
      <c r="AA110" s="16" t="n">
        <f aca="false">Z110/Q110-1</f>
        <v>0.0247383538418056</v>
      </c>
      <c r="AB110" s="16" t="n">
        <v>0.1092</v>
      </c>
      <c r="AC110" s="16" t="n">
        <v>0.2261</v>
      </c>
      <c r="AD110" s="16" t="n">
        <v>0.3052</v>
      </c>
      <c r="AE110" s="16" t="n">
        <v>-0.2852</v>
      </c>
      <c r="AF110" s="16" t="n">
        <v>0.2695</v>
      </c>
      <c r="AG110" s="17" t="n">
        <v>171205691.15</v>
      </c>
      <c r="AH110" s="18" t="n">
        <f aca="false">IFERROR(AVERAGE($AB110:$AF110),"")</f>
        <v>0.12496</v>
      </c>
      <c r="AI110" s="18" t="n">
        <f aca="false">IFERROR(_xlfn.STDEV.P($AB110:$AF110),"")</f>
        <v>0.215447057069713</v>
      </c>
    </row>
    <row r="111" customFormat="false" ht="14.25" hidden="false" customHeight="true" outlineLevel="0" collapsed="false">
      <c r="A111" s="11" t="s">
        <v>188</v>
      </c>
      <c r="B111" s="12" t="s">
        <v>187</v>
      </c>
      <c r="C111" s="11" t="s">
        <v>27</v>
      </c>
      <c r="D111" s="11" t="s">
        <v>60</v>
      </c>
      <c r="E111" s="11" t="s">
        <v>61</v>
      </c>
      <c r="F111" s="11" t="s">
        <v>62</v>
      </c>
      <c r="G111" s="11" t="s">
        <v>95</v>
      </c>
      <c r="H111" s="11" t="s">
        <v>37</v>
      </c>
      <c r="I111" s="11" t="s">
        <v>24</v>
      </c>
      <c r="J111" s="11" t="s">
        <v>39</v>
      </c>
      <c r="K111" s="13" t="n">
        <v>0.01</v>
      </c>
      <c r="L111" s="14" t="n">
        <v>43179</v>
      </c>
      <c r="M111" s="15" t="n">
        <v>12.99061634</v>
      </c>
      <c r="N111" s="15" t="n">
        <v>13.20137851</v>
      </c>
      <c r="O111" s="15" t="n">
        <v>13.11944292</v>
      </c>
      <c r="P111" s="15" t="n">
        <v>13.1067511</v>
      </c>
      <c r="Q111" s="15" t="n">
        <v>13.61548905</v>
      </c>
      <c r="R111" s="15" t="n">
        <v>14.36086024</v>
      </c>
      <c r="S111" s="15" t="n">
        <v>14.16202385</v>
      </c>
      <c r="T111" s="15" t="n">
        <v>12.77294419</v>
      </c>
      <c r="U111" s="15" t="n">
        <v>13.68480555</v>
      </c>
      <c r="V111" s="15" t="n">
        <v>14.25171049</v>
      </c>
      <c r="W111" s="15" t="n">
        <v>14.52532202</v>
      </c>
      <c r="X111" s="15" t="n">
        <v>14.72628117</v>
      </c>
      <c r="Y111" s="15" t="n">
        <v>14.76320344</v>
      </c>
      <c r="Z111" s="15" t="n">
        <v>14.17478684</v>
      </c>
      <c r="AA111" s="16" t="n">
        <f aca="false">Z111/Q111-1</f>
        <v>0.0410780536744657</v>
      </c>
      <c r="AB111" s="16" t="n">
        <v>0.2365</v>
      </c>
      <c r="AC111" s="16" t="n">
        <v>0.0137</v>
      </c>
      <c r="AD111" s="16" t="n">
        <v>0.2338</v>
      </c>
      <c r="AE111" s="16" t="n">
        <v>-0.2674</v>
      </c>
      <c r="AF111" s="16" t="n">
        <v>0.0829</v>
      </c>
      <c r="AG111" s="17" t="n">
        <v>29417920.18</v>
      </c>
      <c r="AH111" s="18" t="n">
        <f aca="false">IFERROR(AVERAGE($AB111:$AF111),"")</f>
        <v>0.0599</v>
      </c>
      <c r="AI111" s="18" t="n">
        <f aca="false">IFERROR(_xlfn.STDEV.P($AB111:$AF111),"")</f>
        <v>0.185049993245069</v>
      </c>
    </row>
    <row r="112" customFormat="false" ht="14.25" hidden="false" customHeight="true" outlineLevel="0" collapsed="false">
      <c r="A112" s="11" t="s">
        <v>189</v>
      </c>
      <c r="B112" s="12" t="s">
        <v>187</v>
      </c>
      <c r="C112" s="11" t="s">
        <v>27</v>
      </c>
      <c r="D112" s="11" t="s">
        <v>60</v>
      </c>
      <c r="E112" s="11" t="s">
        <v>61</v>
      </c>
      <c r="F112" s="11" t="s">
        <v>62</v>
      </c>
      <c r="G112" s="11" t="s">
        <v>51</v>
      </c>
      <c r="H112" s="11" t="s">
        <v>37</v>
      </c>
      <c r="I112" s="11" t="s">
        <v>38</v>
      </c>
      <c r="J112" s="11" t="s">
        <v>39</v>
      </c>
      <c r="K112" s="13" t="n">
        <v>0.01</v>
      </c>
      <c r="L112" s="14" t="n">
        <v>41870</v>
      </c>
      <c r="M112" s="15" t="n">
        <v>4.86415457</v>
      </c>
      <c r="N112" s="15" t="n">
        <v>5.13502936</v>
      </c>
      <c r="O112" s="15" t="n">
        <v>5.26927574</v>
      </c>
      <c r="P112" s="15" t="n">
        <v>5.20261915</v>
      </c>
      <c r="Q112" s="15" t="n">
        <v>5.32687245</v>
      </c>
      <c r="R112" s="15" t="n">
        <v>5.81971017</v>
      </c>
      <c r="S112" s="15" t="n">
        <v>6.02281182</v>
      </c>
      <c r="T112" s="15" t="n">
        <v>5.46954299</v>
      </c>
      <c r="U112" s="15" t="n">
        <v>5.89559752</v>
      </c>
      <c r="V112" s="15" t="n">
        <v>6.20203176</v>
      </c>
      <c r="W112" s="15" t="n">
        <v>6.31994028</v>
      </c>
      <c r="X112" s="15" t="n">
        <v>6.13114807</v>
      </c>
      <c r="Y112" s="15" t="n">
        <v>6.35125261</v>
      </c>
      <c r="Z112" s="15" t="n">
        <v>6.35405212</v>
      </c>
      <c r="AA112" s="16" t="n">
        <f aca="false">Z112/Q112-1</f>
        <v>0.192829785139684</v>
      </c>
      <c r="AB112" s="16" t="n">
        <v>0.3122</v>
      </c>
      <c r="AC112" s="16" t="n">
        <v>-0.0128</v>
      </c>
      <c r="AD112" s="16" t="n">
        <v>0.0629</v>
      </c>
      <c r="AE112" s="16" t="n">
        <v>-0.3307</v>
      </c>
      <c r="AF112" s="16" t="n">
        <v>-0.0097</v>
      </c>
      <c r="AG112" s="17" t="n">
        <v>32492175.92</v>
      </c>
      <c r="AH112" s="18" t="n">
        <f aca="false">IFERROR(AVERAGE($AB112:$AF112),"")</f>
        <v>0.00438</v>
      </c>
      <c r="AI112" s="18" t="n">
        <f aca="false">IFERROR(_xlfn.STDEV.P($AB112:$AF112),"")</f>
        <v>0.20540192209422</v>
      </c>
    </row>
    <row r="113" customFormat="false" ht="14.25" hidden="false" customHeight="true" outlineLevel="0" collapsed="false">
      <c r="A113" s="11" t="s">
        <v>190</v>
      </c>
      <c r="B113" s="12" t="s">
        <v>187</v>
      </c>
      <c r="C113" s="11" t="s">
        <v>18</v>
      </c>
      <c r="D113" s="11" t="s">
        <v>44</v>
      </c>
      <c r="E113" s="11" t="s">
        <v>45</v>
      </c>
      <c r="F113" s="11" t="s">
        <v>21</v>
      </c>
      <c r="G113" s="11" t="s">
        <v>22</v>
      </c>
      <c r="H113" s="11" t="s">
        <v>23</v>
      </c>
      <c r="I113" s="11" t="s">
        <v>24</v>
      </c>
      <c r="J113" s="11" t="s">
        <v>77</v>
      </c>
      <c r="K113" s="13" t="n">
        <v>0.009</v>
      </c>
      <c r="L113" s="14" t="n">
        <v>45350</v>
      </c>
      <c r="M113" s="15" t="n">
        <v>10.83538888</v>
      </c>
      <c r="N113" s="15" t="n">
        <v>10.86958002</v>
      </c>
      <c r="O113" s="15" t="n">
        <v>10.90016913</v>
      </c>
      <c r="P113" s="15" t="n">
        <v>10.94282799</v>
      </c>
      <c r="Q113" s="15" t="n">
        <v>10.98464011</v>
      </c>
      <c r="R113" s="15" t="n">
        <v>11.03776339</v>
      </c>
      <c r="S113" s="15" t="n">
        <v>11.06896439</v>
      </c>
      <c r="T113" s="15" t="n">
        <v>11.07958301</v>
      </c>
      <c r="U113" s="15" t="n">
        <v>11.13300046</v>
      </c>
      <c r="V113" s="15" t="n">
        <v>11.18901827</v>
      </c>
      <c r="W113" s="15" t="n">
        <v>11.24495261</v>
      </c>
      <c r="X113" s="15" t="n">
        <v>11.28180779</v>
      </c>
      <c r="Y113" s="15" t="n">
        <v>11.32191572</v>
      </c>
      <c r="Z113" s="15" t="n">
        <v>11.3253985</v>
      </c>
      <c r="AA113" s="16" t="n">
        <f aca="false">Z113/Q113-1</f>
        <v>0.0310213522325402</v>
      </c>
      <c r="AB113" s="16" t="n">
        <v>0.0485</v>
      </c>
      <c r="AC113" s="16" t="n">
        <v>0.0427</v>
      </c>
      <c r="AD113" s="16"/>
      <c r="AE113" s="16"/>
      <c r="AF113" s="16"/>
      <c r="AG113" s="17" t="n">
        <v>981006496.74</v>
      </c>
      <c r="AH113" s="18" t="n">
        <f aca="false">IFERROR(AVERAGE($AB113:$AF113),"")</f>
        <v>0.0456</v>
      </c>
      <c r="AI113" s="18" t="n">
        <f aca="false">IFERROR(_xlfn.STDEV.P($AB113:$AF113),"")</f>
        <v>0.0029</v>
      </c>
    </row>
    <row r="114" customFormat="false" ht="14.25" hidden="false" customHeight="true" outlineLevel="0" collapsed="false">
      <c r="A114" s="11" t="s">
        <v>191</v>
      </c>
      <c r="B114" s="12" t="s">
        <v>187</v>
      </c>
      <c r="C114" s="11" t="s">
        <v>18</v>
      </c>
      <c r="D114" s="11" t="s">
        <v>44</v>
      </c>
      <c r="E114" s="11" t="s">
        <v>45</v>
      </c>
      <c r="F114" s="11" t="s">
        <v>21</v>
      </c>
      <c r="G114" s="11" t="s">
        <v>22</v>
      </c>
      <c r="H114" s="11" t="s">
        <v>46</v>
      </c>
      <c r="I114" s="11" t="s">
        <v>24</v>
      </c>
      <c r="J114" s="11" t="s">
        <v>77</v>
      </c>
      <c r="K114" s="13" t="n">
        <v>0.01</v>
      </c>
      <c r="L114" s="14" t="n">
        <v>45631</v>
      </c>
      <c r="M114" s="15" t="n">
        <v>10.59887036</v>
      </c>
      <c r="N114" s="15" t="n">
        <v>10.6863976</v>
      </c>
      <c r="O114" s="15" t="n">
        <v>10.70669666</v>
      </c>
      <c r="P114" s="15" t="n">
        <v>10.76846197</v>
      </c>
      <c r="Q114" s="15" t="n">
        <v>10.79974058</v>
      </c>
      <c r="R114" s="15" t="n">
        <v>10.87274682</v>
      </c>
      <c r="S114" s="15" t="n">
        <v>10.89790754</v>
      </c>
      <c r="T114" s="15" t="n">
        <v>10.80188554</v>
      </c>
      <c r="U114" s="15" t="n">
        <v>10.90404896</v>
      </c>
      <c r="V114" s="15" t="n">
        <v>10.9864099</v>
      </c>
      <c r="W114" s="15" t="n">
        <v>11.08259302</v>
      </c>
      <c r="X114" s="15" t="n">
        <v>11.10329863</v>
      </c>
      <c r="Y114" s="15" t="n">
        <v>11.12101266</v>
      </c>
      <c r="Z114" s="15" t="n">
        <v>11.01951502</v>
      </c>
      <c r="AA114" s="16" t="n">
        <f aca="false">Z114/Q114-1</f>
        <v>0.0203499739990978</v>
      </c>
      <c r="AB114" s="16" t="n">
        <v>0.0647</v>
      </c>
      <c r="AC114" s="16" t="n">
        <v>0.0035</v>
      </c>
      <c r="AD114" s="16"/>
      <c r="AE114" s="16"/>
      <c r="AF114" s="16"/>
      <c r="AG114" s="17" t="n">
        <v>252100548.07</v>
      </c>
      <c r="AH114" s="18" t="n">
        <f aca="false">IFERROR(AVERAGE($AB114:$AF114),"")</f>
        <v>0.0341</v>
      </c>
      <c r="AI114" s="18" t="n">
        <f aca="false">IFERROR(_xlfn.STDEV.P($AB114:$AF114),"")</f>
        <v>0.0306</v>
      </c>
    </row>
    <row r="115" customFormat="false" ht="14.25" hidden="false" customHeight="true" outlineLevel="0" collapsed="false">
      <c r="A115" s="11" t="s">
        <v>192</v>
      </c>
      <c r="B115" s="12" t="s">
        <v>187</v>
      </c>
      <c r="C115" s="11" t="s">
        <v>27</v>
      </c>
      <c r="D115" s="11" t="s">
        <v>44</v>
      </c>
      <c r="E115" s="11" t="s">
        <v>45</v>
      </c>
      <c r="F115" s="11" t="s">
        <v>21</v>
      </c>
      <c r="G115" s="11" t="s">
        <v>22</v>
      </c>
      <c r="H115" s="11" t="s">
        <v>23</v>
      </c>
      <c r="I115" s="11" t="s">
        <v>24</v>
      </c>
      <c r="J115" s="11" t="s">
        <v>77</v>
      </c>
      <c r="K115" s="13" t="n">
        <v>0.009</v>
      </c>
      <c r="L115" s="14" t="n">
        <v>45261</v>
      </c>
      <c r="M115" s="15" t="n">
        <v>11.02264195</v>
      </c>
      <c r="N115" s="15" t="n">
        <v>11.0704024</v>
      </c>
      <c r="O115" s="15" t="n">
        <v>11.10198936</v>
      </c>
      <c r="P115" s="15" t="n">
        <v>11.1323501</v>
      </c>
      <c r="Q115" s="15" t="n">
        <v>11.1721624</v>
      </c>
      <c r="R115" s="15" t="n">
        <v>11.20361912</v>
      </c>
      <c r="S115" s="15" t="n">
        <v>11.24281116</v>
      </c>
      <c r="T115" s="15" t="n">
        <v>11.2392616</v>
      </c>
      <c r="U115" s="15" t="n">
        <v>11.28625126</v>
      </c>
      <c r="V115" s="15" t="n">
        <v>11.30880083</v>
      </c>
      <c r="W115" s="15" t="n">
        <v>11.33795526</v>
      </c>
      <c r="X115" s="15" t="n">
        <v>11.35619837</v>
      </c>
      <c r="Y115" s="15" t="n">
        <v>11.40103879</v>
      </c>
      <c r="Z115" s="15" t="n">
        <v>11.37997104</v>
      </c>
      <c r="AA115" s="16" t="n">
        <f aca="false">Z115/Q115-1</f>
        <v>0.0186005745852744</v>
      </c>
      <c r="AB115" s="16" t="n">
        <v>0.0443</v>
      </c>
      <c r="AC115" s="16" t="n">
        <v>0.0488</v>
      </c>
      <c r="AD115" s="16" t="n">
        <v>0.0057</v>
      </c>
      <c r="AE115" s="16"/>
      <c r="AF115" s="16"/>
      <c r="AG115" s="17" t="n">
        <v>2812131434.23</v>
      </c>
      <c r="AH115" s="18" t="n">
        <f aca="false">IFERROR(AVERAGE($AB115:$AF115),"")</f>
        <v>0.0329333333333333</v>
      </c>
      <c r="AI115" s="18" t="n">
        <f aca="false">IFERROR(_xlfn.STDEV.P($AB115:$AF115),"")</f>
        <v>0.0193443072303513</v>
      </c>
    </row>
    <row r="116" customFormat="false" ht="14.25" hidden="false" customHeight="true" outlineLevel="0" collapsed="false">
      <c r="A116" s="11" t="s">
        <v>193</v>
      </c>
      <c r="B116" s="12" t="s">
        <v>187</v>
      </c>
      <c r="C116" s="11" t="s">
        <v>27</v>
      </c>
      <c r="D116" s="11" t="s">
        <v>44</v>
      </c>
      <c r="E116" s="11" t="s">
        <v>45</v>
      </c>
      <c r="F116" s="11" t="s">
        <v>21</v>
      </c>
      <c r="G116" s="11" t="s">
        <v>22</v>
      </c>
      <c r="H116" s="11" t="s">
        <v>46</v>
      </c>
      <c r="I116" s="11" t="s">
        <v>24</v>
      </c>
      <c r="J116" s="11" t="s">
        <v>77</v>
      </c>
      <c r="K116" s="13" t="n">
        <v>0.01</v>
      </c>
      <c r="L116" s="14" t="n">
        <v>45622</v>
      </c>
      <c r="M116" s="15" t="n">
        <v>10.49064921</v>
      </c>
      <c r="N116" s="15" t="n">
        <v>10.55965291</v>
      </c>
      <c r="O116" s="15" t="n">
        <v>10.57629036</v>
      </c>
      <c r="P116" s="15" t="n">
        <v>10.5961909</v>
      </c>
      <c r="Q116" s="15" t="n">
        <v>10.63892329</v>
      </c>
      <c r="R116" s="15" t="n">
        <v>10.66457835</v>
      </c>
      <c r="S116" s="15" t="n">
        <v>10.7177051</v>
      </c>
      <c r="T116" s="15" t="n">
        <v>10.60653736</v>
      </c>
      <c r="U116" s="15" t="n">
        <v>10.71114113</v>
      </c>
      <c r="V116" s="15" t="n">
        <v>10.70864799</v>
      </c>
      <c r="W116" s="15" t="n">
        <v>10.7443042</v>
      </c>
      <c r="X116" s="15" t="n">
        <v>10.71919636</v>
      </c>
      <c r="Y116" s="15" t="n">
        <v>10.77096744</v>
      </c>
      <c r="Z116" s="15" t="n">
        <v>10.63296947</v>
      </c>
      <c r="AA116" s="16" t="n">
        <f aca="false">Z116/Q116-1</f>
        <v>-0.000559626179990835</v>
      </c>
      <c r="AB116" s="16" t="n">
        <v>0.0544</v>
      </c>
      <c r="AC116" s="16" t="n">
        <v>0.0005</v>
      </c>
      <c r="AD116" s="16"/>
      <c r="AE116" s="16"/>
      <c r="AF116" s="16"/>
      <c r="AG116" s="17" t="n">
        <v>797171643.7</v>
      </c>
      <c r="AH116" s="18" t="n">
        <f aca="false">IFERROR(AVERAGE($AB116:$AF116),"")</f>
        <v>0.02745</v>
      </c>
      <c r="AI116" s="18" t="n">
        <f aca="false">IFERROR(_xlfn.STDEV.P($AB116:$AF116),"")</f>
        <v>0.02695</v>
      </c>
    </row>
    <row r="117" customFormat="false" ht="14.25" hidden="false" customHeight="true" outlineLevel="0" collapsed="false">
      <c r="A117" s="11" t="s">
        <v>194</v>
      </c>
      <c r="B117" s="12" t="s">
        <v>187</v>
      </c>
      <c r="C117" s="11" t="s">
        <v>27</v>
      </c>
      <c r="D117" s="11" t="s">
        <v>44</v>
      </c>
      <c r="E117" s="11" t="s">
        <v>45</v>
      </c>
      <c r="F117" s="11" t="s">
        <v>55</v>
      </c>
      <c r="G117" s="11" t="s">
        <v>28</v>
      </c>
      <c r="H117" s="11" t="s">
        <v>37</v>
      </c>
      <c r="I117" s="11" t="s">
        <v>24</v>
      </c>
      <c r="J117" s="11" t="s">
        <v>39</v>
      </c>
      <c r="K117" s="13" t="n">
        <v>0.01</v>
      </c>
      <c r="L117" s="14" t="n">
        <v>43187</v>
      </c>
      <c r="M117" s="15" t="n">
        <v>11.72319468</v>
      </c>
      <c r="N117" s="15" t="n">
        <v>11.78519286</v>
      </c>
      <c r="O117" s="15" t="n">
        <v>11.79841442</v>
      </c>
      <c r="P117" s="15" t="n">
        <v>11.8323273</v>
      </c>
      <c r="Q117" s="15" t="n">
        <v>11.9062335</v>
      </c>
      <c r="R117" s="15" t="n">
        <v>11.97930869</v>
      </c>
      <c r="S117" s="15" t="n">
        <v>12.01044791</v>
      </c>
      <c r="T117" s="15" t="n">
        <v>11.82424666</v>
      </c>
      <c r="U117" s="15" t="n">
        <v>11.99380002</v>
      </c>
      <c r="V117" s="15" t="n">
        <v>12.07020908</v>
      </c>
      <c r="W117" s="15" t="n">
        <v>12.13117331</v>
      </c>
      <c r="X117" s="15" t="n">
        <v>12.18444251</v>
      </c>
      <c r="Y117" s="15" t="n">
        <v>12.23615831</v>
      </c>
      <c r="Z117" s="15" t="n">
        <v>12.06337298</v>
      </c>
      <c r="AA117" s="16" t="n">
        <f aca="false">Z117/Q117-1</f>
        <v>0.0131980848519391</v>
      </c>
      <c r="AB117" s="16" t="n">
        <v>0.0571</v>
      </c>
      <c r="AC117" s="16" t="n">
        <v>0.0449</v>
      </c>
      <c r="AD117" s="16" t="n">
        <v>0.0999</v>
      </c>
      <c r="AE117" s="16" t="n">
        <v>-0.1286</v>
      </c>
      <c r="AF117" s="16" t="n">
        <v>0.0172</v>
      </c>
      <c r="AG117" s="17" t="n">
        <v>98449857.49</v>
      </c>
      <c r="AH117" s="18" t="n">
        <f aca="false">IFERROR(AVERAGE($AB117:$AF117),"")</f>
        <v>0.0181</v>
      </c>
      <c r="AI117" s="18" t="n">
        <f aca="false">IFERROR(_xlfn.STDEV.P($AB117:$AF117),"")</f>
        <v>0.0780412455051814</v>
      </c>
    </row>
    <row r="118" customFormat="false" ht="14.25" hidden="false" customHeight="true" outlineLevel="0" collapsed="false">
      <c r="A118" s="11" t="s">
        <v>195</v>
      </c>
      <c r="B118" s="12" t="s">
        <v>187</v>
      </c>
      <c r="C118" s="11" t="s">
        <v>27</v>
      </c>
      <c r="D118" s="11" t="s">
        <v>44</v>
      </c>
      <c r="E118" s="11" t="s">
        <v>45</v>
      </c>
      <c r="F118" s="11" t="s">
        <v>21</v>
      </c>
      <c r="G118" s="11" t="s">
        <v>28</v>
      </c>
      <c r="H118" s="11" t="s">
        <v>37</v>
      </c>
      <c r="I118" s="11" t="s">
        <v>24</v>
      </c>
      <c r="J118" s="11" t="s">
        <v>39</v>
      </c>
      <c r="K118" s="13" t="n">
        <v>0.009</v>
      </c>
      <c r="L118" s="14" t="n">
        <v>43224</v>
      </c>
      <c r="M118" s="15" t="n">
        <v>10.94221464</v>
      </c>
      <c r="N118" s="15" t="n">
        <v>11.01778931</v>
      </c>
      <c r="O118" s="15" t="n">
        <v>11.13135268</v>
      </c>
      <c r="P118" s="15" t="n">
        <v>11.1997268</v>
      </c>
      <c r="Q118" s="15" t="n">
        <v>11.23546861</v>
      </c>
      <c r="R118" s="15" t="n">
        <v>11.2865059</v>
      </c>
      <c r="S118" s="15" t="n">
        <v>11.37417663</v>
      </c>
      <c r="T118" s="15" t="n">
        <v>11.06878665</v>
      </c>
      <c r="U118" s="15" t="n">
        <v>11.18039386</v>
      </c>
      <c r="V118" s="15" t="n">
        <v>11.24484009</v>
      </c>
      <c r="W118" s="15" t="n">
        <v>11.34667264</v>
      </c>
      <c r="X118" s="15" t="n">
        <v>11.19194666</v>
      </c>
      <c r="Y118" s="15" t="n">
        <v>11.21294087</v>
      </c>
      <c r="Z118" s="15" t="n">
        <v>10.83212382</v>
      </c>
      <c r="AA118" s="16" t="n">
        <f aca="false">Z118/Q118-1</f>
        <v>-0.0358992405213083</v>
      </c>
      <c r="AB118" s="16" t="n">
        <v>0.0847</v>
      </c>
      <c r="AC118" s="16" t="n">
        <v>0.0396</v>
      </c>
      <c r="AD118" s="16" t="n">
        <v>0.0572</v>
      </c>
      <c r="AE118" s="16" t="n">
        <v>-0.1308</v>
      </c>
      <c r="AF118" s="16" t="n">
        <v>-0.037</v>
      </c>
      <c r="AG118" s="17" t="n">
        <v>187651831.89</v>
      </c>
      <c r="AH118" s="18" t="n">
        <f aca="false">IFERROR(AVERAGE($AB118:$AF118),"")</f>
        <v>0.00274</v>
      </c>
      <c r="AI118" s="18" t="n">
        <f aca="false">IFERROR(_xlfn.STDEV.P($AB118:$AF118),"")</f>
        <v>0.0780438235864953</v>
      </c>
    </row>
    <row r="119" customFormat="false" ht="14.25" hidden="false" customHeight="true" outlineLevel="0" collapsed="false">
      <c r="A119" s="11" t="s">
        <v>196</v>
      </c>
      <c r="B119" s="12" t="s">
        <v>187</v>
      </c>
      <c r="C119" s="11" t="s">
        <v>27</v>
      </c>
      <c r="D119" s="11" t="s">
        <v>44</v>
      </c>
      <c r="E119" s="11" t="s">
        <v>45</v>
      </c>
      <c r="F119" s="11" t="s">
        <v>21</v>
      </c>
      <c r="G119" s="11" t="s">
        <v>22</v>
      </c>
      <c r="H119" s="11" t="s">
        <v>171</v>
      </c>
      <c r="I119" s="11" t="s">
        <v>24</v>
      </c>
      <c r="J119" s="11" t="s">
        <v>77</v>
      </c>
      <c r="K119" s="13" t="n">
        <v>0.01</v>
      </c>
      <c r="L119" s="14" t="n">
        <v>35248</v>
      </c>
      <c r="M119" s="15" t="n">
        <v>19.5191222</v>
      </c>
      <c r="N119" s="15" t="n">
        <v>19.5653167</v>
      </c>
      <c r="O119" s="15" t="n">
        <v>19.57833864</v>
      </c>
      <c r="P119" s="15" t="n">
        <v>19.62038895</v>
      </c>
      <c r="Q119" s="15" t="n">
        <v>19.59172406</v>
      </c>
      <c r="R119" s="15" t="n">
        <v>19.62193388</v>
      </c>
      <c r="S119" s="15" t="n">
        <v>19.65467075</v>
      </c>
      <c r="T119" s="15" t="n">
        <v>19.70442614</v>
      </c>
      <c r="U119" s="15" t="n">
        <v>19.73314429</v>
      </c>
      <c r="V119" s="15" t="n">
        <v>19.70236981</v>
      </c>
      <c r="W119" s="15" t="n">
        <v>19.40196787</v>
      </c>
      <c r="X119" s="15" t="n">
        <v>19.46328363</v>
      </c>
      <c r="Y119" s="15" t="n">
        <v>19.51535458</v>
      </c>
      <c r="Z119" s="15" t="n">
        <v>19.49804115</v>
      </c>
      <c r="AA119" s="16" t="n">
        <f aca="false">Z119/Q119-1</f>
        <v>-0.0047817593649796</v>
      </c>
      <c r="AB119" s="16" t="n">
        <v>-0.0546</v>
      </c>
      <c r="AC119" s="16" t="n">
        <v>0.0318</v>
      </c>
      <c r="AD119" s="16" t="n">
        <v>0.0339</v>
      </c>
      <c r="AE119" s="16" t="n">
        <v>-0.2472</v>
      </c>
      <c r="AF119" s="16" t="n">
        <v>-0.0048</v>
      </c>
      <c r="AG119" s="17" t="n">
        <v>16344373.98</v>
      </c>
      <c r="AH119" s="18" t="n">
        <f aca="false">IFERROR(AVERAGE($AB119:$AF119),"")</f>
        <v>-0.04818</v>
      </c>
      <c r="AI119" s="18" t="n">
        <f aca="false">IFERROR(_xlfn.STDEV.P($AB119:$AF119),"")</f>
        <v>0.104561874505003</v>
      </c>
    </row>
    <row r="120" customFormat="false" ht="14.25" hidden="false" customHeight="true" outlineLevel="0" collapsed="false">
      <c r="A120" s="11" t="s">
        <v>197</v>
      </c>
      <c r="B120" s="12" t="s">
        <v>187</v>
      </c>
      <c r="C120" s="11" t="s">
        <v>18</v>
      </c>
      <c r="D120" s="11" t="s">
        <v>44</v>
      </c>
      <c r="E120" s="11" t="s">
        <v>45</v>
      </c>
      <c r="F120" s="11" t="s">
        <v>21</v>
      </c>
      <c r="G120" s="11" t="s">
        <v>22</v>
      </c>
      <c r="H120" s="11" t="s">
        <v>171</v>
      </c>
      <c r="I120" s="11" t="s">
        <v>24</v>
      </c>
      <c r="J120" s="11" t="s">
        <v>77</v>
      </c>
      <c r="K120" s="13" t="n">
        <v>0.0135</v>
      </c>
      <c r="L120" s="14" t="n">
        <v>39189</v>
      </c>
      <c r="M120" s="15" t="n">
        <v>11.6098739</v>
      </c>
      <c r="N120" s="15" t="n">
        <v>11.62734686</v>
      </c>
      <c r="O120" s="15" t="n">
        <v>11.62854971</v>
      </c>
      <c r="P120" s="15" t="n">
        <v>11.6467685</v>
      </c>
      <c r="Q120" s="15" t="n">
        <v>11.63240124</v>
      </c>
      <c r="R120" s="15" t="n">
        <v>11.64568407</v>
      </c>
      <c r="S120" s="15" t="n">
        <v>11.65643172</v>
      </c>
      <c r="T120" s="15" t="n">
        <v>11.67879304</v>
      </c>
      <c r="U120" s="15" t="n">
        <v>11.69349142</v>
      </c>
      <c r="V120" s="15" t="n">
        <v>11.68743604</v>
      </c>
      <c r="W120" s="15" t="n">
        <v>11.5821759</v>
      </c>
      <c r="X120" s="15" t="n">
        <v>11.58829738</v>
      </c>
      <c r="Y120" s="15" t="n">
        <v>11.60833322</v>
      </c>
      <c r="Z120" s="15" t="n">
        <v>11.62257827</v>
      </c>
      <c r="AA120" s="16" t="n">
        <f aca="false">Z120/Q120-1</f>
        <v>-0.000844449034840933</v>
      </c>
      <c r="AB120" s="16" t="n">
        <v>-0.0346</v>
      </c>
      <c r="AC120" s="16" t="n">
        <v>0.0155</v>
      </c>
      <c r="AD120" s="16" t="n">
        <v>-0.0023</v>
      </c>
      <c r="AE120" s="16" t="n">
        <v>-0.3065</v>
      </c>
      <c r="AF120" s="16" t="n">
        <v>-0.0062</v>
      </c>
      <c r="AG120" s="17" t="n">
        <v>6812920.97</v>
      </c>
      <c r="AH120" s="18" t="n">
        <f aca="false">IFERROR(AVERAGE($AB120:$AF120),"")</f>
        <v>-0.06682</v>
      </c>
      <c r="AI120" s="18" t="n">
        <f aca="false">IFERROR(_xlfn.STDEV.P($AB120:$AF120),"")</f>
        <v>0.120912222707218</v>
      </c>
    </row>
    <row r="121" customFormat="false" ht="14.25" hidden="false" customHeight="true" outlineLevel="0" collapsed="false">
      <c r="A121" s="11" t="s">
        <v>198</v>
      </c>
      <c r="B121" s="12" t="s">
        <v>187</v>
      </c>
      <c r="C121" s="11" t="s">
        <v>18</v>
      </c>
      <c r="D121" s="11" t="s">
        <v>19</v>
      </c>
      <c r="E121" s="11" t="s">
        <v>20</v>
      </c>
      <c r="F121" s="11" t="s">
        <v>21</v>
      </c>
      <c r="G121" s="11" t="s">
        <v>22</v>
      </c>
      <c r="H121" s="11" t="s">
        <v>23</v>
      </c>
      <c r="I121" s="11" t="s">
        <v>24</v>
      </c>
      <c r="J121" s="11" t="s">
        <v>31</v>
      </c>
      <c r="K121" s="13" t="n">
        <v>0.0075</v>
      </c>
      <c r="L121" s="14" t="n">
        <v>44956</v>
      </c>
      <c r="M121" s="15" t="n">
        <v>11.68147633</v>
      </c>
      <c r="N121" s="15" t="n">
        <v>11.72061527</v>
      </c>
      <c r="O121" s="15" t="n">
        <v>11.75824705</v>
      </c>
      <c r="P121" s="15" t="n">
        <v>11.79905789</v>
      </c>
      <c r="Q121" s="15" t="n">
        <v>11.83882666</v>
      </c>
      <c r="R121" s="15" t="n">
        <v>11.88459519</v>
      </c>
      <c r="S121" s="15" t="n">
        <v>11.91730614</v>
      </c>
      <c r="T121" s="15" t="n">
        <v>11.94849765</v>
      </c>
      <c r="U121" s="15" t="n">
        <v>11.99146614</v>
      </c>
      <c r="V121" s="15" t="n">
        <v>12.03353809</v>
      </c>
      <c r="W121" s="15" t="n">
        <v>12.07979174</v>
      </c>
      <c r="X121" s="15" t="n">
        <v>12.12260653</v>
      </c>
      <c r="Y121" s="15" t="n">
        <v>12.1653397</v>
      </c>
      <c r="Z121" s="15" t="n">
        <v>12.2034625</v>
      </c>
      <c r="AA121" s="16" t="n">
        <f aca="false">Z121/Q121-1</f>
        <v>0.0307999982153637</v>
      </c>
      <c r="AB121" s="16" t="n">
        <v>0.0426</v>
      </c>
      <c r="AC121" s="16" t="n">
        <v>0.0503</v>
      </c>
      <c r="AD121" s="16" t="n">
        <v>0.0635</v>
      </c>
      <c r="AE121" s="16"/>
      <c r="AF121" s="16"/>
      <c r="AG121" s="17" t="n">
        <v>1234798460.11</v>
      </c>
      <c r="AH121" s="18" t="n">
        <f aca="false">IFERROR(AVERAGE($AB121:$AF121),"")</f>
        <v>0.0521333333333333</v>
      </c>
      <c r="AI121" s="18" t="n">
        <f aca="false">IFERROR(_xlfn.STDEV.P($AB121:$AF121),"")</f>
        <v>0.00863030835035587</v>
      </c>
    </row>
    <row r="122" customFormat="false" ht="14.25" hidden="false" customHeight="true" outlineLevel="0" collapsed="false">
      <c r="A122" s="11" t="s">
        <v>199</v>
      </c>
      <c r="B122" s="12" t="s">
        <v>187</v>
      </c>
      <c r="C122" s="11" t="s">
        <v>27</v>
      </c>
      <c r="D122" s="11" t="s">
        <v>19</v>
      </c>
      <c r="E122" s="11" t="s">
        <v>20</v>
      </c>
      <c r="F122" s="11" t="s">
        <v>21</v>
      </c>
      <c r="G122" s="11" t="s">
        <v>22</v>
      </c>
      <c r="H122" s="11" t="s">
        <v>23</v>
      </c>
      <c r="I122" s="11" t="s">
        <v>24</v>
      </c>
      <c r="J122" s="11" t="s">
        <v>31</v>
      </c>
      <c r="K122" s="13" t="n">
        <v>0.008</v>
      </c>
      <c r="L122" s="14" t="n">
        <v>44957</v>
      </c>
      <c r="M122" s="15" t="n">
        <v>11.24676447</v>
      </c>
      <c r="N122" s="15" t="n">
        <v>11.28119682</v>
      </c>
      <c r="O122" s="15" t="n">
        <v>11.31616731</v>
      </c>
      <c r="P122" s="15" t="n">
        <v>11.34960277</v>
      </c>
      <c r="Q122" s="15" t="n">
        <v>11.38390334</v>
      </c>
      <c r="R122" s="15" t="n">
        <v>11.41786816</v>
      </c>
      <c r="S122" s="15" t="n">
        <v>11.44796109</v>
      </c>
      <c r="T122" s="15" t="n">
        <v>11.48059049</v>
      </c>
      <c r="U122" s="15" t="n">
        <v>11.51134204</v>
      </c>
      <c r="V122" s="15" t="n">
        <v>11.5427372</v>
      </c>
      <c r="W122" s="15" t="n">
        <v>11.57550797</v>
      </c>
      <c r="X122" s="15" t="n">
        <v>11.60806368</v>
      </c>
      <c r="Y122" s="15" t="n">
        <v>11.64060473</v>
      </c>
      <c r="Z122" s="15" t="n">
        <v>11.67171814</v>
      </c>
      <c r="AA122" s="16" t="n">
        <f aca="false">Z122/Q122-1</f>
        <v>0.0252826110169695</v>
      </c>
      <c r="AB122" s="16" t="n">
        <v>0.0383</v>
      </c>
      <c r="AC122" s="16" t="n">
        <v>0.0461</v>
      </c>
      <c r="AD122" s="16" t="n">
        <v>0.0422</v>
      </c>
      <c r="AE122" s="16"/>
      <c r="AF122" s="16"/>
      <c r="AG122" s="17" t="n">
        <v>2991331512.33</v>
      </c>
      <c r="AH122" s="18" t="n">
        <f aca="false">IFERROR(AVERAGE($AB122:$AF122),"")</f>
        <v>0.0422</v>
      </c>
      <c r="AI122" s="18" t="n">
        <f aca="false">IFERROR(_xlfn.STDEV.P($AB122:$AF122),"")</f>
        <v>0.00318433666561813</v>
      </c>
    </row>
    <row r="123" customFormat="false" ht="14.25" hidden="false" customHeight="true" outlineLevel="0" collapsed="false">
      <c r="A123" s="11" t="s">
        <v>200</v>
      </c>
      <c r="B123" s="12" t="s">
        <v>187</v>
      </c>
      <c r="C123" s="11" t="s">
        <v>27</v>
      </c>
      <c r="D123" s="11" t="s">
        <v>19</v>
      </c>
      <c r="E123" s="11" t="s">
        <v>20</v>
      </c>
      <c r="F123" s="11" t="s">
        <v>21</v>
      </c>
      <c r="G123" s="11" t="s">
        <v>22</v>
      </c>
      <c r="H123" s="11" t="s">
        <v>23</v>
      </c>
      <c r="I123" s="11" t="s">
        <v>24</v>
      </c>
      <c r="J123" s="11" t="s">
        <v>72</v>
      </c>
      <c r="K123" s="13" t="n">
        <v>0.008</v>
      </c>
      <c r="L123" s="14" t="n">
        <v>40772</v>
      </c>
      <c r="M123" s="15" t="n">
        <v>11.48530393</v>
      </c>
      <c r="N123" s="15" t="n">
        <v>11.51219242</v>
      </c>
      <c r="O123" s="15" t="n">
        <v>11.53085985</v>
      </c>
      <c r="P123" s="15" t="n">
        <v>11.55827877</v>
      </c>
      <c r="Q123" s="15" t="n">
        <v>11.56256536</v>
      </c>
      <c r="R123" s="15" t="n">
        <v>11.58577784</v>
      </c>
      <c r="S123" s="15" t="n">
        <v>11.60653933</v>
      </c>
      <c r="T123" s="15" t="n">
        <v>11.63690982</v>
      </c>
      <c r="U123" s="15" t="n">
        <v>11.66106496</v>
      </c>
      <c r="V123" s="15" t="n">
        <v>11.66896488</v>
      </c>
      <c r="W123" s="15" t="n">
        <v>11.60287557</v>
      </c>
      <c r="X123" s="15" t="n">
        <v>11.62064371</v>
      </c>
      <c r="Y123" s="15" t="n">
        <v>11.64825133</v>
      </c>
      <c r="Z123" s="15" t="n">
        <v>11.67118605</v>
      </c>
      <c r="AA123" s="16" t="n">
        <f aca="false">Z123/Q123-1</f>
        <v>0.00939416873488685</v>
      </c>
      <c r="AB123" s="16" t="n">
        <v>-0.0166</v>
      </c>
      <c r="AC123" s="16" t="n">
        <v>0.0397</v>
      </c>
      <c r="AD123" s="16" t="n">
        <v>0.0057</v>
      </c>
      <c r="AE123" s="16" t="n">
        <v>0.0091</v>
      </c>
      <c r="AF123" s="16" t="n">
        <v>0.0059</v>
      </c>
      <c r="AG123" s="17" t="n">
        <v>63411913.62</v>
      </c>
      <c r="AH123" s="18" t="n">
        <f aca="false">IFERROR(AVERAGE($AB123:$AF123),"")</f>
        <v>0.00876</v>
      </c>
      <c r="AI123" s="18" t="n">
        <f aca="false">IFERROR(_xlfn.STDEV.P($AB123:$AF123),"")</f>
        <v>0.0179892857001049</v>
      </c>
    </row>
    <row r="124" customFormat="false" ht="14.25" hidden="false" customHeight="true" outlineLevel="0" collapsed="false">
      <c r="A124" s="11" t="s">
        <v>201</v>
      </c>
      <c r="B124" s="12" t="s">
        <v>187</v>
      </c>
      <c r="C124" s="11" t="s">
        <v>27</v>
      </c>
      <c r="D124" s="11" t="s">
        <v>19</v>
      </c>
      <c r="E124" s="11" t="s">
        <v>20</v>
      </c>
      <c r="F124" s="11" t="s">
        <v>21</v>
      </c>
      <c r="G124" s="11" t="s">
        <v>22</v>
      </c>
      <c r="H124" s="11" t="s">
        <v>23</v>
      </c>
      <c r="I124" s="11" t="s">
        <v>24</v>
      </c>
      <c r="J124" s="11" t="s">
        <v>77</v>
      </c>
      <c r="K124" s="13" t="n">
        <v>0.01</v>
      </c>
      <c r="L124" s="14" t="n">
        <v>36957</v>
      </c>
      <c r="M124" s="15" t="n">
        <v>16.78952952</v>
      </c>
      <c r="N124" s="15" t="n">
        <v>16.84098086</v>
      </c>
      <c r="O124" s="15" t="n">
        <v>16.87298905</v>
      </c>
      <c r="P124" s="15" t="n">
        <v>16.91483106</v>
      </c>
      <c r="Q124" s="15" t="n">
        <v>16.95596742</v>
      </c>
      <c r="R124" s="15" t="n">
        <v>16.99433522</v>
      </c>
      <c r="S124" s="15" t="n">
        <v>17.03167458</v>
      </c>
      <c r="T124" s="15" t="n">
        <v>17.03063844</v>
      </c>
      <c r="U124" s="15" t="n">
        <v>17.09529295</v>
      </c>
      <c r="V124" s="15" t="n">
        <v>17.1219868</v>
      </c>
      <c r="W124" s="15" t="n">
        <v>17.1284689</v>
      </c>
      <c r="X124" s="15" t="n">
        <v>17.14639649</v>
      </c>
      <c r="Y124" s="15" t="n">
        <v>17.19986011</v>
      </c>
      <c r="Z124" s="15" t="n">
        <v>17.204823</v>
      </c>
      <c r="AA124" s="16" t="n">
        <f aca="false">Z124/Q124-1</f>
        <v>0.0146765780940621</v>
      </c>
      <c r="AB124" s="16" t="n">
        <v>0.0268</v>
      </c>
      <c r="AC124" s="16" t="n">
        <v>0.045</v>
      </c>
      <c r="AD124" s="16" t="n">
        <v>-0.031</v>
      </c>
      <c r="AE124" s="16" t="n">
        <v>-0.0186</v>
      </c>
      <c r="AF124" s="16" t="n">
        <v>0.0094</v>
      </c>
      <c r="AG124" s="17" t="n">
        <v>33047151.44</v>
      </c>
      <c r="AH124" s="18" t="n">
        <f aca="false">IFERROR(AVERAGE($AB124:$AF124),"")</f>
        <v>0.00632</v>
      </c>
      <c r="AI124" s="18" t="n">
        <f aca="false">IFERROR(_xlfn.STDEV.P($AB124:$AF124),"")</f>
        <v>0.0280672335651378</v>
      </c>
    </row>
    <row r="125" customFormat="false" ht="14.25" hidden="false" customHeight="true" outlineLevel="0" collapsed="false">
      <c r="A125" s="11" t="s">
        <v>202</v>
      </c>
      <c r="B125" s="12" t="s">
        <v>187</v>
      </c>
      <c r="C125" s="11" t="s">
        <v>18</v>
      </c>
      <c r="D125" s="11" t="s">
        <v>19</v>
      </c>
      <c r="E125" s="11" t="s">
        <v>20</v>
      </c>
      <c r="F125" s="11" t="s">
        <v>21</v>
      </c>
      <c r="G125" s="11" t="s">
        <v>22</v>
      </c>
      <c r="H125" s="11" t="s">
        <v>23</v>
      </c>
      <c r="I125" s="11" t="s">
        <v>24</v>
      </c>
      <c r="J125" s="11" t="s">
        <v>77</v>
      </c>
      <c r="K125" s="13" t="n">
        <v>0.0105</v>
      </c>
      <c r="L125" s="14" t="n">
        <v>40771</v>
      </c>
      <c r="M125" s="15" t="n">
        <v>12.65237934</v>
      </c>
      <c r="N125" s="15" t="n">
        <v>12.6834325</v>
      </c>
      <c r="O125" s="15" t="n">
        <v>12.71247389</v>
      </c>
      <c r="P125" s="15" t="n">
        <v>12.74124257</v>
      </c>
      <c r="Q125" s="15" t="n">
        <v>12.7730197</v>
      </c>
      <c r="R125" s="15" t="n">
        <v>12.80528175</v>
      </c>
      <c r="S125" s="15" t="n">
        <v>12.83331897</v>
      </c>
      <c r="T125" s="15" t="n">
        <v>12.86654238</v>
      </c>
      <c r="U125" s="15" t="n">
        <v>12.89770106</v>
      </c>
      <c r="V125" s="15" t="n">
        <v>12.9300581</v>
      </c>
      <c r="W125" s="15" t="n">
        <v>12.96541719</v>
      </c>
      <c r="X125" s="15" t="n">
        <v>12.99804309</v>
      </c>
      <c r="Y125" s="15" t="n">
        <v>13.03046587</v>
      </c>
      <c r="Z125" s="15" t="n">
        <v>13.06210105</v>
      </c>
      <c r="AA125" s="16" t="n">
        <f aca="false">Z125/Q125-1</f>
        <v>0.0226321854024856</v>
      </c>
      <c r="AB125" s="16" t="n">
        <v>0.018</v>
      </c>
      <c r="AC125" s="16" t="n">
        <v>0.0569</v>
      </c>
      <c r="AD125" s="16" t="n">
        <v>-0.1296</v>
      </c>
      <c r="AE125" s="16" t="n">
        <v>0.0109</v>
      </c>
      <c r="AF125" s="16" t="n">
        <v>0.0089</v>
      </c>
      <c r="AG125" s="17" t="n">
        <v>31705239.82</v>
      </c>
      <c r="AH125" s="18" t="n">
        <f aca="false">IFERROR(AVERAGE($AB125:$AF125),"")</f>
        <v>-0.00698</v>
      </c>
      <c r="AI125" s="18" t="n">
        <f aca="false">IFERROR(_xlfn.STDEV.P($AB125:$AF125),"")</f>
        <v>0.0637372544121568</v>
      </c>
    </row>
    <row r="126" customFormat="false" ht="14.25" hidden="false" customHeight="true" outlineLevel="0" collapsed="false">
      <c r="A126" s="11" t="s">
        <v>203</v>
      </c>
      <c r="B126" s="12" t="s">
        <v>187</v>
      </c>
      <c r="C126" s="11" t="s">
        <v>18</v>
      </c>
      <c r="D126" s="11" t="s">
        <v>19</v>
      </c>
      <c r="E126" s="11" t="s">
        <v>20</v>
      </c>
      <c r="F126" s="11" t="s">
        <v>21</v>
      </c>
      <c r="G126" s="11" t="s">
        <v>22</v>
      </c>
      <c r="H126" s="11" t="s">
        <v>23</v>
      </c>
      <c r="I126" s="11" t="s">
        <v>24</v>
      </c>
      <c r="J126" s="11" t="s">
        <v>77</v>
      </c>
      <c r="K126" s="13" t="n">
        <v>0.0105</v>
      </c>
      <c r="L126" s="14" t="n">
        <v>37063</v>
      </c>
      <c r="M126" s="15" t="n">
        <v>20.57801656</v>
      </c>
      <c r="N126" s="15" t="n">
        <v>20.63273771</v>
      </c>
      <c r="O126" s="15" t="n">
        <v>20.65579763</v>
      </c>
      <c r="P126" s="15" t="n">
        <v>20.71886605</v>
      </c>
      <c r="Q126" s="15" t="n">
        <v>20.72883315</v>
      </c>
      <c r="R126" s="15" t="n">
        <v>20.79752969</v>
      </c>
      <c r="S126" s="15" t="n">
        <v>20.83559143</v>
      </c>
      <c r="T126" s="15" t="n">
        <v>20.86552687</v>
      </c>
      <c r="U126" s="15" t="n">
        <v>20.90380123</v>
      </c>
      <c r="V126" s="15" t="n">
        <v>20.9567407</v>
      </c>
      <c r="W126" s="15" t="n">
        <v>20.75782927</v>
      </c>
      <c r="X126" s="15" t="n">
        <v>20.82604567</v>
      </c>
      <c r="Y126" s="15" t="n">
        <v>20.8620867</v>
      </c>
      <c r="Z126" s="15" t="n">
        <v>20.85329639</v>
      </c>
      <c r="AA126" s="16" t="n">
        <f aca="false">Z126/Q126-1</f>
        <v>0.00600435340954064</v>
      </c>
      <c r="AB126" s="16" t="n">
        <v>-0.0132</v>
      </c>
      <c r="AC126" s="16" t="n">
        <v>0.0426</v>
      </c>
      <c r="AD126" s="16" t="n">
        <v>-0.0619</v>
      </c>
      <c r="AE126" s="16" t="n">
        <v>-0.0177</v>
      </c>
      <c r="AF126" s="16" t="n">
        <v>-0.0054</v>
      </c>
      <c r="AG126" s="17" t="n">
        <v>25835967.05</v>
      </c>
      <c r="AH126" s="18" t="n">
        <f aca="false">IFERROR(AVERAGE($AB126:$AF126),"")</f>
        <v>-0.01112</v>
      </c>
      <c r="AI126" s="18" t="n">
        <f aca="false">IFERROR(_xlfn.STDEV.P($AB126:$AF126),"")</f>
        <v>0.0333010149995462</v>
      </c>
    </row>
    <row r="127" customFormat="false" ht="14.25" hidden="false" customHeight="true" outlineLevel="0" collapsed="false">
      <c r="H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customFormat="false" ht="14.25" hidden="false" customHeight="true" outlineLevel="0" collapsed="false">
      <c r="D128" s="21"/>
      <c r="E128" s="21"/>
      <c r="F128" s="21"/>
      <c r="G128" s="21"/>
      <c r="H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customFormat="false" ht="14.25" hidden="false" customHeight="true" outlineLevel="0" collapsed="false">
      <c r="D129" s="21"/>
      <c r="E129" s="21"/>
      <c r="F129" s="21"/>
      <c r="G129" s="21"/>
      <c r="H129" s="21"/>
      <c r="I129" s="21"/>
      <c r="AA129" s="20"/>
      <c r="AB129" s="20"/>
      <c r="AC129" s="20"/>
      <c r="AD129" s="20"/>
      <c r="AE129" s="20"/>
      <c r="AF129" s="20"/>
      <c r="AG129" s="20"/>
    </row>
    <row r="130" customFormat="false" ht="14.25" hidden="false" customHeight="true" outlineLevel="0" collapsed="false">
      <c r="D130" s="21"/>
      <c r="E130" s="21"/>
      <c r="F130" s="21"/>
      <c r="G130" s="21"/>
      <c r="H130" s="21"/>
      <c r="I130" s="21"/>
      <c r="AA130" s="20"/>
      <c r="AB130" s="20"/>
      <c r="AC130" s="20"/>
      <c r="AD130" s="20"/>
      <c r="AE130" s="20"/>
      <c r="AF130" s="20"/>
      <c r="AG130" s="20"/>
    </row>
    <row r="131" customFormat="false" ht="14.25" hidden="false" customHeight="true" outlineLevel="0" collapsed="false">
      <c r="D131" s="21"/>
      <c r="E131" s="21"/>
      <c r="F131" s="21"/>
      <c r="G131" s="21"/>
      <c r="H131" s="21"/>
      <c r="I131" s="21"/>
      <c r="AA131" s="20"/>
      <c r="AB131" s="20"/>
      <c r="AC131" s="20"/>
      <c r="AD131" s="20"/>
      <c r="AE131" s="20"/>
      <c r="AF131" s="20"/>
      <c r="AG131" s="20"/>
    </row>
    <row r="132" customFormat="false" ht="14.25" hidden="false" customHeight="true" outlineLevel="0" collapsed="false">
      <c r="D132" s="21"/>
      <c r="E132" s="21"/>
      <c r="F132" s="21"/>
      <c r="G132" s="21"/>
      <c r="H132" s="21"/>
      <c r="I132" s="21"/>
      <c r="AA132" s="20"/>
      <c r="AB132" s="20"/>
      <c r="AC132" s="20"/>
      <c r="AD132" s="20"/>
      <c r="AE132" s="20"/>
      <c r="AF132" s="20"/>
      <c r="AG132" s="20"/>
    </row>
    <row r="133" customFormat="false" ht="14.25" hidden="false" customHeight="true" outlineLevel="0" collapsed="false">
      <c r="D133" s="22"/>
      <c r="E133" s="21"/>
      <c r="F133" s="23"/>
      <c r="I133" s="20"/>
      <c r="AA133" s="20"/>
      <c r="AB133" s="20"/>
      <c r="AC133" s="20"/>
      <c r="AD133" s="20"/>
      <c r="AE133" s="20"/>
      <c r="AF133" s="20"/>
      <c r="AG133" s="20"/>
    </row>
    <row r="134" customFormat="false" ht="14.25" hidden="false" customHeight="true" outlineLevel="0" collapsed="false">
      <c r="D134" s="22"/>
      <c r="E134" s="21"/>
      <c r="F134" s="23"/>
      <c r="I134" s="20"/>
      <c r="AA134" s="20"/>
      <c r="AB134" s="20"/>
      <c r="AC134" s="20"/>
      <c r="AD134" s="20"/>
      <c r="AE134" s="20"/>
      <c r="AF134" s="20"/>
      <c r="AG134" s="20"/>
    </row>
    <row r="135" customFormat="false" ht="14.25" hidden="false" customHeight="true" outlineLevel="0" collapsed="false">
      <c r="D135" s="22"/>
      <c r="E135" s="21"/>
      <c r="F135" s="23"/>
      <c r="I135" s="20"/>
      <c r="AA135" s="20"/>
      <c r="AB135" s="20"/>
      <c r="AC135" s="20"/>
      <c r="AD135" s="20"/>
      <c r="AE135" s="20"/>
      <c r="AF135" s="20"/>
      <c r="AG135" s="20"/>
    </row>
    <row r="136" customFormat="false" ht="14.25" hidden="false" customHeight="true" outlineLevel="0" collapsed="false">
      <c r="D136" s="22"/>
      <c r="E136" s="21"/>
      <c r="F136" s="23"/>
      <c r="I136" s="20"/>
      <c r="AA136" s="20"/>
      <c r="AB136" s="20"/>
      <c r="AC136" s="20"/>
      <c r="AD136" s="20"/>
      <c r="AE136" s="20"/>
      <c r="AF136" s="20"/>
      <c r="AG136" s="20"/>
    </row>
    <row r="137" customFormat="false" ht="14.25" hidden="false" customHeight="true" outlineLevel="0" collapsed="false">
      <c r="D137" s="22"/>
      <c r="E137" s="21"/>
      <c r="F137" s="23"/>
      <c r="I137" s="20"/>
      <c r="AA137" s="20"/>
      <c r="AB137" s="20"/>
      <c r="AC137" s="20"/>
      <c r="AD137" s="20"/>
      <c r="AE137" s="20"/>
      <c r="AF137" s="20"/>
      <c r="AG137" s="20"/>
    </row>
    <row r="138" customFormat="false" ht="14.25" hidden="false" customHeight="true" outlineLevel="0" collapsed="false">
      <c r="D138" s="22"/>
      <c r="E138" s="21"/>
      <c r="F138" s="23"/>
      <c r="I138" s="20"/>
      <c r="AA138" s="20"/>
      <c r="AB138" s="20"/>
      <c r="AC138" s="20"/>
      <c r="AD138" s="20"/>
      <c r="AE138" s="20"/>
      <c r="AF138" s="20"/>
      <c r="AG138" s="20"/>
    </row>
    <row r="139" customFormat="false" ht="14.25" hidden="false" customHeight="true" outlineLevel="0" collapsed="false">
      <c r="E139" s="21"/>
      <c r="I139" s="20"/>
      <c r="AA139" s="20"/>
      <c r="AB139" s="20"/>
      <c r="AC139" s="20"/>
      <c r="AD139" s="20"/>
      <c r="AE139" s="20"/>
      <c r="AF139" s="20"/>
      <c r="AG139" s="20"/>
    </row>
    <row r="140" customFormat="false" ht="14.25" hidden="false" customHeight="true" outlineLevel="0" collapsed="false">
      <c r="E140" s="21"/>
      <c r="I140" s="20"/>
      <c r="AA140" s="20"/>
      <c r="AB140" s="20"/>
      <c r="AC140" s="20"/>
      <c r="AD140" s="20"/>
      <c r="AE140" s="20"/>
      <c r="AF140" s="20"/>
      <c r="AG140" s="20"/>
    </row>
    <row r="141" customFormat="false" ht="14.25" hidden="false" customHeight="true" outlineLevel="0" collapsed="false">
      <c r="E141" s="21"/>
      <c r="I141" s="20"/>
      <c r="AA141" s="20"/>
      <c r="AB141" s="20"/>
      <c r="AC141" s="20"/>
      <c r="AD141" s="20"/>
      <c r="AE141" s="20"/>
      <c r="AF141" s="20"/>
      <c r="AG141" s="20"/>
    </row>
    <row r="142" customFormat="false" ht="14.25" hidden="false" customHeight="true" outlineLevel="0" collapsed="false">
      <c r="E142" s="21"/>
      <c r="I142" s="20"/>
      <c r="AA142" s="20"/>
      <c r="AB142" s="20"/>
      <c r="AC142" s="20"/>
      <c r="AD142" s="20"/>
      <c r="AE142" s="20"/>
      <c r="AF142" s="20"/>
      <c r="AG142" s="20"/>
    </row>
    <row r="143" customFormat="false" ht="14.25" hidden="false" customHeight="true" outlineLevel="0" collapsed="false">
      <c r="E143" s="21"/>
      <c r="I143" s="20"/>
      <c r="AA143" s="20"/>
      <c r="AB143" s="20"/>
      <c r="AC143" s="20"/>
      <c r="AD143" s="20"/>
      <c r="AE143" s="20"/>
      <c r="AF143" s="20"/>
      <c r="AG143" s="20"/>
    </row>
    <row r="144" customFormat="false" ht="14.25" hidden="false" customHeight="true" outlineLevel="0" collapsed="false">
      <c r="E144" s="21"/>
      <c r="I144" s="20"/>
      <c r="AA144" s="20"/>
      <c r="AB144" s="20"/>
      <c r="AC144" s="20"/>
      <c r="AD144" s="20"/>
      <c r="AE144" s="20"/>
      <c r="AF144" s="20"/>
      <c r="AG144" s="20"/>
    </row>
    <row r="145" customFormat="false" ht="14.25" hidden="false" customHeight="true" outlineLevel="0" collapsed="false">
      <c r="E145" s="21"/>
      <c r="I145" s="20"/>
      <c r="AA145" s="20"/>
      <c r="AB145" s="20"/>
      <c r="AC145" s="20"/>
      <c r="AD145" s="20"/>
      <c r="AE145" s="20"/>
      <c r="AF145" s="20"/>
      <c r="AG145" s="20"/>
    </row>
    <row r="146" customFormat="false" ht="14.25" hidden="false" customHeight="true" outlineLevel="0" collapsed="false">
      <c r="E146" s="21"/>
      <c r="I146" s="20"/>
      <c r="AA146" s="20"/>
      <c r="AB146" s="20"/>
      <c r="AC146" s="20"/>
      <c r="AD146" s="20"/>
      <c r="AE146" s="20"/>
      <c r="AF146" s="20"/>
      <c r="AG146" s="20"/>
    </row>
    <row r="147" customFormat="false" ht="14.25" hidden="false" customHeight="true" outlineLevel="0" collapsed="false">
      <c r="E147" s="21"/>
      <c r="I147" s="20"/>
      <c r="AA147" s="20"/>
      <c r="AB147" s="20"/>
      <c r="AC147" s="20"/>
      <c r="AD147" s="20"/>
      <c r="AE147" s="20"/>
      <c r="AF147" s="20"/>
      <c r="AG147" s="20"/>
    </row>
    <row r="148" customFormat="false" ht="14.25" hidden="false" customHeight="true" outlineLevel="0" collapsed="false">
      <c r="E148" s="21"/>
      <c r="I148" s="20"/>
      <c r="AA148" s="20"/>
      <c r="AB148" s="20"/>
      <c r="AC148" s="20"/>
      <c r="AD148" s="20"/>
      <c r="AE148" s="20"/>
      <c r="AF148" s="20"/>
      <c r="AG148" s="20"/>
    </row>
    <row r="149" customFormat="false" ht="14.25" hidden="false" customHeight="true" outlineLevel="0" collapsed="false">
      <c r="E149" s="21"/>
      <c r="I149" s="20"/>
      <c r="AA149" s="20"/>
      <c r="AB149" s="20"/>
      <c r="AC149" s="20"/>
      <c r="AD149" s="20"/>
      <c r="AE149" s="20"/>
      <c r="AF149" s="20"/>
      <c r="AG149" s="20"/>
    </row>
    <row r="150" customFormat="false" ht="14.25" hidden="false" customHeight="true" outlineLevel="0" collapsed="false">
      <c r="E150" s="21"/>
      <c r="I150" s="20"/>
      <c r="AA150" s="20"/>
      <c r="AB150" s="20"/>
      <c r="AC150" s="20"/>
      <c r="AD150" s="20"/>
      <c r="AE150" s="20"/>
      <c r="AF150" s="20"/>
      <c r="AG150" s="20"/>
    </row>
    <row r="151" customFormat="false" ht="14.25" hidden="false" customHeight="true" outlineLevel="0" collapsed="false">
      <c r="E151" s="21"/>
      <c r="I151" s="20"/>
      <c r="AA151" s="20"/>
      <c r="AB151" s="20"/>
      <c r="AC151" s="20"/>
      <c r="AD151" s="20"/>
      <c r="AE151" s="20"/>
      <c r="AF151" s="20"/>
      <c r="AG151" s="20"/>
    </row>
    <row r="152" customFormat="false" ht="14.25" hidden="false" customHeight="true" outlineLevel="0" collapsed="false">
      <c r="E152" s="21"/>
      <c r="I152" s="20"/>
      <c r="AA152" s="20"/>
      <c r="AB152" s="20"/>
      <c r="AC152" s="20"/>
      <c r="AD152" s="20"/>
      <c r="AE152" s="20"/>
      <c r="AF152" s="20"/>
      <c r="AG152" s="20"/>
    </row>
    <row r="153" customFormat="false" ht="14.25" hidden="false" customHeight="true" outlineLevel="0" collapsed="false">
      <c r="H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customFormat="false" ht="14.25" hidden="false" customHeight="true" outlineLevel="0" collapsed="false">
      <c r="H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customFormat="false" ht="14.25" hidden="false" customHeight="true" outlineLevel="0" collapsed="false">
      <c r="H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customFormat="false" ht="14.25" hidden="false" customHeight="true" outlineLevel="0" collapsed="false">
      <c r="H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customFormat="false" ht="14.25" hidden="false" customHeight="true" outlineLevel="0" collapsed="false">
      <c r="H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customFormat="false" ht="14.25" hidden="false" customHeight="true" outlineLevel="0" collapsed="false">
      <c r="H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customFormat="false" ht="14.25" hidden="false" customHeight="true" outlineLevel="0" collapsed="false">
      <c r="H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customFormat="false" ht="14.25" hidden="false" customHeight="true" outlineLevel="0" collapsed="false">
      <c r="H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customFormat="false" ht="14.25" hidden="false" customHeight="true" outlineLevel="0" collapsed="false">
      <c r="H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customFormat="false" ht="14.25" hidden="false" customHeight="true" outlineLevel="0" collapsed="false">
      <c r="H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customFormat="false" ht="14.25" hidden="false" customHeight="true" outlineLevel="0" collapsed="false">
      <c r="H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customFormat="false" ht="14.25" hidden="false" customHeight="true" outlineLevel="0" collapsed="false">
      <c r="H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customFormat="false" ht="14.25" hidden="false" customHeight="true" outlineLevel="0" collapsed="false">
      <c r="H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customFormat="false" ht="14.25" hidden="false" customHeight="true" outlineLevel="0" collapsed="false">
      <c r="H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customFormat="false" ht="14.25" hidden="false" customHeight="true" outlineLevel="0" collapsed="false">
      <c r="H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customFormat="false" ht="14.25" hidden="false" customHeight="true" outlineLevel="0" collapsed="false">
      <c r="H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customFormat="false" ht="14.25" hidden="false" customHeight="true" outlineLevel="0" collapsed="false">
      <c r="H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customFormat="false" ht="14.25" hidden="false" customHeight="true" outlineLevel="0" collapsed="false">
      <c r="H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customFormat="false" ht="14.25" hidden="false" customHeight="true" outlineLevel="0" collapsed="false">
      <c r="H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customFormat="false" ht="14.25" hidden="false" customHeight="true" outlineLevel="0" collapsed="false">
      <c r="H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customFormat="false" ht="14.25" hidden="false" customHeight="true" outlineLevel="0" collapsed="false">
      <c r="H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customFormat="false" ht="14.25" hidden="false" customHeight="true" outlineLevel="0" collapsed="false">
      <c r="H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customFormat="false" ht="14.25" hidden="false" customHeight="true" outlineLevel="0" collapsed="false">
      <c r="H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customFormat="false" ht="14.25" hidden="false" customHeight="true" outlineLevel="0" collapsed="false">
      <c r="H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customFormat="false" ht="14.25" hidden="false" customHeight="true" outlineLevel="0" collapsed="false">
      <c r="H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customFormat="false" ht="14.25" hidden="false" customHeight="true" outlineLevel="0" collapsed="false">
      <c r="H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customFormat="false" ht="14.25" hidden="false" customHeight="true" outlineLevel="0" collapsed="false">
      <c r="H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customFormat="false" ht="14.25" hidden="false" customHeight="true" outlineLevel="0" collapsed="false">
      <c r="H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customFormat="false" ht="14.25" hidden="false" customHeight="true" outlineLevel="0" collapsed="false">
      <c r="H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customFormat="false" ht="14.25" hidden="false" customHeight="true" outlineLevel="0" collapsed="false">
      <c r="H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customFormat="false" ht="14.25" hidden="false" customHeight="true" outlineLevel="0" collapsed="false">
      <c r="H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customFormat="false" ht="14.25" hidden="false" customHeight="true" outlineLevel="0" collapsed="false">
      <c r="H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customFormat="false" ht="14.25" hidden="false" customHeight="true" outlineLevel="0" collapsed="false">
      <c r="H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customFormat="false" ht="14.25" hidden="false" customHeight="true" outlineLevel="0" collapsed="false">
      <c r="H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customFormat="false" ht="14.25" hidden="false" customHeight="true" outlineLevel="0" collapsed="false">
      <c r="H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customFormat="false" ht="14.25" hidden="false" customHeight="true" outlineLevel="0" collapsed="false">
      <c r="H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customFormat="false" ht="14.25" hidden="false" customHeight="true" outlineLevel="0" collapsed="false">
      <c r="H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customFormat="false" ht="14.25" hidden="false" customHeight="true" outlineLevel="0" collapsed="false">
      <c r="H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customFormat="false" ht="14.25" hidden="false" customHeight="true" outlineLevel="0" collapsed="false">
      <c r="H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customFormat="false" ht="14.25" hidden="false" customHeight="true" outlineLevel="0" collapsed="false">
      <c r="H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customFormat="false" ht="14.25" hidden="false" customHeight="true" outlineLevel="0" collapsed="false">
      <c r="H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customFormat="false" ht="14.25" hidden="false" customHeight="true" outlineLevel="0" collapsed="false">
      <c r="H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customFormat="false" ht="14.25" hidden="false" customHeight="true" outlineLevel="0" collapsed="false">
      <c r="H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customFormat="false" ht="14.25" hidden="false" customHeight="true" outlineLevel="0" collapsed="false">
      <c r="H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customFormat="false" ht="14.25" hidden="false" customHeight="true" outlineLevel="0" collapsed="false">
      <c r="H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customFormat="false" ht="14.25" hidden="false" customHeight="true" outlineLevel="0" collapsed="false">
      <c r="H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customFormat="false" ht="14.25" hidden="false" customHeight="true" outlineLevel="0" collapsed="false">
      <c r="H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customFormat="false" ht="14.25" hidden="false" customHeight="true" outlineLevel="0" collapsed="false">
      <c r="H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customFormat="false" ht="14.25" hidden="false" customHeight="true" outlineLevel="0" collapsed="false">
      <c r="H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customFormat="false" ht="14.25" hidden="false" customHeight="true" outlineLevel="0" collapsed="false">
      <c r="H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customFormat="false" ht="14.25" hidden="false" customHeight="true" outlineLevel="0" collapsed="false">
      <c r="H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customFormat="false" ht="14.25" hidden="false" customHeight="true" outlineLevel="0" collapsed="false">
      <c r="H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customFormat="false" ht="14.25" hidden="false" customHeight="true" outlineLevel="0" collapsed="false">
      <c r="H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customFormat="false" ht="14.25" hidden="false" customHeight="true" outlineLevel="0" collapsed="false">
      <c r="H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customFormat="false" ht="14.25" hidden="false" customHeight="true" outlineLevel="0" collapsed="false">
      <c r="H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customFormat="false" ht="14.25" hidden="false" customHeight="true" outlineLevel="0" collapsed="false">
      <c r="H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customFormat="false" ht="14.25" hidden="false" customHeight="true" outlineLevel="0" collapsed="false">
      <c r="H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customFormat="false" ht="14.25" hidden="false" customHeight="true" outlineLevel="0" collapsed="false">
      <c r="H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customFormat="false" ht="14.25" hidden="false" customHeight="true" outlineLevel="0" collapsed="false">
      <c r="H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customFormat="false" ht="14.25" hidden="false" customHeight="true" outlineLevel="0" collapsed="false">
      <c r="H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customFormat="false" ht="14.25" hidden="false" customHeight="true" outlineLevel="0" collapsed="false">
      <c r="H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customFormat="false" ht="14.25" hidden="false" customHeight="true" outlineLevel="0" collapsed="false">
      <c r="H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customFormat="false" ht="14.25" hidden="false" customHeight="true" outlineLevel="0" collapsed="false">
      <c r="H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customFormat="false" ht="14.25" hidden="false" customHeight="true" outlineLevel="0" collapsed="false">
      <c r="H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customFormat="false" ht="14.25" hidden="false" customHeight="true" outlineLevel="0" collapsed="false">
      <c r="H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customFormat="false" ht="14.25" hidden="false" customHeight="true" outlineLevel="0" collapsed="false">
      <c r="H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customFormat="false" ht="14.25" hidden="false" customHeight="true" outlineLevel="0" collapsed="false">
      <c r="H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customFormat="false" ht="14.25" hidden="false" customHeight="true" outlineLevel="0" collapsed="false">
      <c r="H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customFormat="false" ht="14.25" hidden="false" customHeight="true" outlineLevel="0" collapsed="false">
      <c r="H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customFormat="false" ht="14.25" hidden="false" customHeight="true" outlineLevel="0" collapsed="false">
      <c r="H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customFormat="false" ht="14.25" hidden="false" customHeight="true" outlineLevel="0" collapsed="false">
      <c r="H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customFormat="false" ht="14.25" hidden="false" customHeight="true" outlineLevel="0" collapsed="false">
      <c r="H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customFormat="false" ht="14.25" hidden="false" customHeight="true" outlineLevel="0" collapsed="false">
      <c r="H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customFormat="false" ht="14.25" hidden="false" customHeight="true" outlineLevel="0" collapsed="false">
      <c r="H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customFormat="false" ht="14.25" hidden="false" customHeight="true" outlineLevel="0" collapsed="false">
      <c r="H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customFormat="false" ht="14.25" hidden="false" customHeight="true" outlineLevel="0" collapsed="false">
      <c r="H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customFormat="false" ht="14.25" hidden="false" customHeight="true" outlineLevel="0" collapsed="false">
      <c r="H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customFormat="false" ht="14.25" hidden="false" customHeight="true" outlineLevel="0" collapsed="false">
      <c r="H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customFormat="false" ht="14.25" hidden="false" customHeight="true" outlineLevel="0" collapsed="false">
      <c r="H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customFormat="false" ht="14.25" hidden="false" customHeight="true" outlineLevel="0" collapsed="false">
      <c r="H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customFormat="false" ht="14.25" hidden="false" customHeight="true" outlineLevel="0" collapsed="false">
      <c r="H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customFormat="false" ht="14.25" hidden="false" customHeight="true" outlineLevel="0" collapsed="false">
      <c r="H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customFormat="false" ht="14.25" hidden="false" customHeight="true" outlineLevel="0" collapsed="false">
      <c r="H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customFormat="false" ht="14.25" hidden="false" customHeight="true" outlineLevel="0" collapsed="false">
      <c r="H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customFormat="false" ht="14.25" hidden="false" customHeight="true" outlineLevel="0" collapsed="false">
      <c r="H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customFormat="false" ht="14.25" hidden="false" customHeight="true" outlineLevel="0" collapsed="false">
      <c r="H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customFormat="false" ht="14.25" hidden="false" customHeight="true" outlineLevel="0" collapsed="false">
      <c r="H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customFormat="false" ht="14.25" hidden="false" customHeight="true" outlineLevel="0" collapsed="false">
      <c r="H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customFormat="false" ht="14.25" hidden="false" customHeight="true" outlineLevel="0" collapsed="false">
      <c r="H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customFormat="false" ht="14.25" hidden="false" customHeight="true" outlineLevel="0" collapsed="false">
      <c r="H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customFormat="false" ht="14.25" hidden="false" customHeight="true" outlineLevel="0" collapsed="false">
      <c r="H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customFormat="false" ht="14.25" hidden="false" customHeight="true" outlineLevel="0" collapsed="false">
      <c r="H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customFormat="false" ht="14.25" hidden="false" customHeight="true" outlineLevel="0" collapsed="false">
      <c r="H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customFormat="false" ht="14.25" hidden="false" customHeight="true" outlineLevel="0" collapsed="false">
      <c r="H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customFormat="false" ht="14.25" hidden="false" customHeight="true" outlineLevel="0" collapsed="false">
      <c r="H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customFormat="false" ht="14.25" hidden="false" customHeight="true" outlineLevel="0" collapsed="false">
      <c r="H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customFormat="false" ht="14.25" hidden="false" customHeight="true" outlineLevel="0" collapsed="false">
      <c r="H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customFormat="false" ht="14.25" hidden="false" customHeight="true" outlineLevel="0" collapsed="false">
      <c r="H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customFormat="false" ht="14.25" hidden="false" customHeight="true" outlineLevel="0" collapsed="false">
      <c r="H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customFormat="false" ht="14.25" hidden="false" customHeight="true" outlineLevel="0" collapsed="false">
      <c r="H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customFormat="false" ht="14.25" hidden="false" customHeight="true" outlineLevel="0" collapsed="false">
      <c r="H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customFormat="false" ht="14.25" hidden="false" customHeight="true" outlineLevel="0" collapsed="false">
      <c r="H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customFormat="false" ht="14.25" hidden="false" customHeight="true" outlineLevel="0" collapsed="false">
      <c r="H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customFormat="false" ht="14.25" hidden="false" customHeight="true" outlineLevel="0" collapsed="false">
      <c r="H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customFormat="false" ht="14.25" hidden="false" customHeight="true" outlineLevel="0" collapsed="false">
      <c r="H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customFormat="false" ht="14.25" hidden="false" customHeight="true" outlineLevel="0" collapsed="false">
      <c r="H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customFormat="false" ht="14.25" hidden="false" customHeight="true" outlineLevel="0" collapsed="false">
      <c r="H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customFormat="false" ht="14.25" hidden="false" customHeight="true" outlineLevel="0" collapsed="false">
      <c r="H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customFormat="false" ht="14.25" hidden="false" customHeight="true" outlineLevel="0" collapsed="false">
      <c r="H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customFormat="false" ht="14.25" hidden="false" customHeight="true" outlineLevel="0" collapsed="false">
      <c r="H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customFormat="false" ht="14.25" hidden="false" customHeight="true" outlineLevel="0" collapsed="false">
      <c r="H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customFormat="false" ht="14.25" hidden="false" customHeight="true" outlineLevel="0" collapsed="false">
      <c r="H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customFormat="false" ht="14.25" hidden="false" customHeight="true" outlineLevel="0" collapsed="false">
      <c r="H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customFormat="false" ht="14.25" hidden="false" customHeight="true" outlineLevel="0" collapsed="false">
      <c r="H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customFormat="false" ht="14.25" hidden="false" customHeight="true" outlineLevel="0" collapsed="false">
      <c r="H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customFormat="false" ht="14.25" hidden="false" customHeight="true" outlineLevel="0" collapsed="false">
      <c r="H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customFormat="false" ht="14.25" hidden="false" customHeight="true" outlineLevel="0" collapsed="false">
      <c r="H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customFormat="false" ht="14.25" hidden="false" customHeight="true" outlineLevel="0" collapsed="false">
      <c r="H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customFormat="false" ht="14.25" hidden="false" customHeight="true" outlineLevel="0" collapsed="false">
      <c r="H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customFormat="false" ht="14.25" hidden="false" customHeight="true" outlineLevel="0" collapsed="false">
      <c r="H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customFormat="false" ht="14.25" hidden="false" customHeight="true" outlineLevel="0" collapsed="false">
      <c r="H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customFormat="false" ht="14.25" hidden="false" customHeight="true" outlineLevel="0" collapsed="false">
      <c r="H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customFormat="false" ht="14.25" hidden="false" customHeight="true" outlineLevel="0" collapsed="false">
      <c r="H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customFormat="false" ht="14.25" hidden="false" customHeight="true" outlineLevel="0" collapsed="false">
      <c r="H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customFormat="false" ht="14.25" hidden="false" customHeight="true" outlineLevel="0" collapsed="false">
      <c r="H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customFormat="false" ht="14.25" hidden="false" customHeight="true" outlineLevel="0" collapsed="false">
      <c r="H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customFormat="false" ht="14.25" hidden="false" customHeight="true" outlineLevel="0" collapsed="false">
      <c r="H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customFormat="false" ht="14.25" hidden="false" customHeight="true" outlineLevel="0" collapsed="false">
      <c r="H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customFormat="false" ht="14.25" hidden="false" customHeight="true" outlineLevel="0" collapsed="false">
      <c r="H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customFormat="false" ht="14.25" hidden="false" customHeight="true" outlineLevel="0" collapsed="false">
      <c r="H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customFormat="false" ht="14.25" hidden="false" customHeight="true" outlineLevel="0" collapsed="false">
      <c r="H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customFormat="false" ht="14.25" hidden="false" customHeight="true" outlineLevel="0" collapsed="false">
      <c r="H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customFormat="false" ht="14.25" hidden="false" customHeight="true" outlineLevel="0" collapsed="false">
      <c r="H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customFormat="false" ht="14.25" hidden="false" customHeight="true" outlineLevel="0" collapsed="false">
      <c r="H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customFormat="false" ht="14.25" hidden="false" customHeight="true" outlineLevel="0" collapsed="false">
      <c r="H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customFormat="false" ht="14.25" hidden="false" customHeight="true" outlineLevel="0" collapsed="false">
      <c r="H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customFormat="false" ht="14.25" hidden="false" customHeight="true" outlineLevel="0" collapsed="false">
      <c r="H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customFormat="false" ht="14.25" hidden="false" customHeight="true" outlineLevel="0" collapsed="false">
      <c r="H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customFormat="false" ht="14.25" hidden="false" customHeight="true" outlineLevel="0" collapsed="false">
      <c r="H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customFormat="false" ht="14.25" hidden="false" customHeight="true" outlineLevel="0" collapsed="false">
      <c r="H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customFormat="false" ht="14.25" hidden="false" customHeight="true" outlineLevel="0" collapsed="false">
      <c r="H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customFormat="false" ht="14.25" hidden="false" customHeight="true" outlineLevel="0" collapsed="false">
      <c r="H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customFormat="false" ht="14.25" hidden="false" customHeight="true" outlineLevel="0" collapsed="false">
      <c r="H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customFormat="false" ht="14.25" hidden="false" customHeight="true" outlineLevel="0" collapsed="false">
      <c r="H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customFormat="false" ht="14.25" hidden="false" customHeight="true" outlineLevel="0" collapsed="false">
      <c r="H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customFormat="false" ht="14.25" hidden="false" customHeight="true" outlineLevel="0" collapsed="false">
      <c r="H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customFormat="false" ht="14.25" hidden="false" customHeight="true" outlineLevel="0" collapsed="false">
      <c r="H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customFormat="false" ht="14.25" hidden="false" customHeight="true" outlineLevel="0" collapsed="false">
      <c r="H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customFormat="false" ht="14.25" hidden="false" customHeight="true" outlineLevel="0" collapsed="false">
      <c r="H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customFormat="false" ht="14.25" hidden="false" customHeight="true" outlineLevel="0" collapsed="false">
      <c r="H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customFormat="false" ht="14.25" hidden="false" customHeight="true" outlineLevel="0" collapsed="false">
      <c r="H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customFormat="false" ht="14.25" hidden="false" customHeight="true" outlineLevel="0" collapsed="false">
      <c r="H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customFormat="false" ht="14.25" hidden="false" customHeight="true" outlineLevel="0" collapsed="false">
      <c r="H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customFormat="false" ht="14.25" hidden="false" customHeight="true" outlineLevel="0" collapsed="false">
      <c r="H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customFormat="false" ht="14.25" hidden="false" customHeight="true" outlineLevel="0" collapsed="false">
      <c r="H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customFormat="false" ht="14.25" hidden="false" customHeight="true" outlineLevel="0" collapsed="false">
      <c r="H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customFormat="false" ht="14.25" hidden="false" customHeight="true" outlineLevel="0" collapsed="false">
      <c r="H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customFormat="false" ht="14.25" hidden="false" customHeight="true" outlineLevel="0" collapsed="false">
      <c r="H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customFormat="false" ht="14.25" hidden="false" customHeight="true" outlineLevel="0" collapsed="false">
      <c r="H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customFormat="false" ht="14.25" hidden="false" customHeight="true" outlineLevel="0" collapsed="false">
      <c r="H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customFormat="false" ht="14.25" hidden="false" customHeight="true" outlineLevel="0" collapsed="false">
      <c r="H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customFormat="false" ht="14.25" hidden="false" customHeight="true" outlineLevel="0" collapsed="false">
      <c r="H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customFormat="false" ht="14.25" hidden="false" customHeight="true" outlineLevel="0" collapsed="false">
      <c r="H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customFormat="false" ht="14.25" hidden="false" customHeight="true" outlineLevel="0" collapsed="false">
      <c r="H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customFormat="false" ht="14.25" hidden="false" customHeight="true" outlineLevel="0" collapsed="false">
      <c r="H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customFormat="false" ht="14.25" hidden="false" customHeight="true" outlineLevel="0" collapsed="false">
      <c r="H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customFormat="false" ht="14.25" hidden="false" customHeight="true" outlineLevel="0" collapsed="false">
      <c r="H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customFormat="false" ht="14.25" hidden="false" customHeight="true" outlineLevel="0" collapsed="false">
      <c r="H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customFormat="false" ht="14.25" hidden="false" customHeight="true" outlineLevel="0" collapsed="false">
      <c r="H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customFormat="false" ht="14.25" hidden="false" customHeight="true" outlineLevel="0" collapsed="false">
      <c r="H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customFormat="false" ht="14.25" hidden="false" customHeight="true" outlineLevel="0" collapsed="false">
      <c r="H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customFormat="false" ht="14.25" hidden="false" customHeight="true" outlineLevel="0" collapsed="false">
      <c r="H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customFormat="false" ht="14.25" hidden="false" customHeight="true" outlineLevel="0" collapsed="false">
      <c r="H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customFormat="false" ht="14.25" hidden="false" customHeight="true" outlineLevel="0" collapsed="false">
      <c r="H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customFormat="false" ht="14.25" hidden="false" customHeight="true" outlineLevel="0" collapsed="false">
      <c r="H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customFormat="false" ht="14.25" hidden="false" customHeight="true" outlineLevel="0" collapsed="false">
      <c r="H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customFormat="false" ht="14.25" hidden="false" customHeight="true" outlineLevel="0" collapsed="false">
      <c r="H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customFormat="false" ht="14.25" hidden="false" customHeight="true" outlineLevel="0" collapsed="false">
      <c r="H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customFormat="false" ht="14.25" hidden="false" customHeight="true" outlineLevel="0" collapsed="false">
      <c r="H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customFormat="false" ht="14.25" hidden="false" customHeight="true" outlineLevel="0" collapsed="false">
      <c r="H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customFormat="false" ht="14.25" hidden="false" customHeight="true" outlineLevel="0" collapsed="false">
      <c r="H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customFormat="false" ht="14.25" hidden="false" customHeight="true" outlineLevel="0" collapsed="false">
      <c r="H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customFormat="false" ht="14.25" hidden="false" customHeight="true" outlineLevel="0" collapsed="false">
      <c r="H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customFormat="false" ht="14.25" hidden="false" customHeight="true" outlineLevel="0" collapsed="false">
      <c r="H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customFormat="false" ht="14.25" hidden="false" customHeight="true" outlineLevel="0" collapsed="false">
      <c r="H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customFormat="false" ht="14.25" hidden="false" customHeight="true" outlineLevel="0" collapsed="false">
      <c r="H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customFormat="false" ht="14.25" hidden="false" customHeight="true" outlineLevel="0" collapsed="false">
      <c r="H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customFormat="false" ht="14.25" hidden="false" customHeight="true" outlineLevel="0" collapsed="false">
      <c r="H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customFormat="false" ht="14.25" hidden="false" customHeight="true" outlineLevel="0" collapsed="false">
      <c r="H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customFormat="false" ht="14.25" hidden="false" customHeight="true" outlineLevel="0" collapsed="false">
      <c r="H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customFormat="false" ht="14.25" hidden="false" customHeight="true" outlineLevel="0" collapsed="false">
      <c r="H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customFormat="false" ht="14.25" hidden="false" customHeight="true" outlineLevel="0" collapsed="false">
      <c r="H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customFormat="false" ht="14.25" hidden="false" customHeight="true" outlineLevel="0" collapsed="false">
      <c r="H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customFormat="false" ht="14.25" hidden="false" customHeight="true" outlineLevel="0" collapsed="false">
      <c r="H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customFormat="false" ht="14.25" hidden="false" customHeight="true" outlineLevel="0" collapsed="false">
      <c r="H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customFormat="false" ht="14.25" hidden="false" customHeight="true" outlineLevel="0" collapsed="false">
      <c r="H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customFormat="false" ht="14.25" hidden="false" customHeight="true" outlineLevel="0" collapsed="false">
      <c r="H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customFormat="false" ht="14.25" hidden="false" customHeight="true" outlineLevel="0" collapsed="false">
      <c r="H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customFormat="false" ht="14.25" hidden="false" customHeight="true" outlineLevel="0" collapsed="false">
      <c r="H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customFormat="false" ht="14.25" hidden="false" customHeight="true" outlineLevel="0" collapsed="false">
      <c r="H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customFormat="false" ht="14.25" hidden="false" customHeight="true" outlineLevel="0" collapsed="false">
      <c r="H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customFormat="false" ht="14.25" hidden="false" customHeight="true" outlineLevel="0" collapsed="false">
      <c r="H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customFormat="false" ht="14.25" hidden="false" customHeight="true" outlineLevel="0" collapsed="false">
      <c r="H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customFormat="false" ht="14.25" hidden="false" customHeight="true" outlineLevel="0" collapsed="false">
      <c r="H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customFormat="false" ht="14.25" hidden="false" customHeight="true" outlineLevel="0" collapsed="false">
      <c r="H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customFormat="false" ht="14.25" hidden="false" customHeight="true" outlineLevel="0" collapsed="false">
      <c r="H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customFormat="false" ht="14.25" hidden="false" customHeight="true" outlineLevel="0" collapsed="false">
      <c r="H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customFormat="false" ht="14.25" hidden="false" customHeight="true" outlineLevel="0" collapsed="false">
      <c r="H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customFormat="false" ht="14.25" hidden="false" customHeight="true" outlineLevel="0" collapsed="false">
      <c r="H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customFormat="false" ht="14.25" hidden="false" customHeight="true" outlineLevel="0" collapsed="false">
      <c r="H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customFormat="false" ht="14.25" hidden="false" customHeight="true" outlineLevel="0" collapsed="false">
      <c r="H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customFormat="false" ht="14.25" hidden="false" customHeight="true" outlineLevel="0" collapsed="false">
      <c r="H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customFormat="false" ht="14.25" hidden="false" customHeight="true" outlineLevel="0" collapsed="false">
      <c r="H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customFormat="false" ht="14.25" hidden="false" customHeight="true" outlineLevel="0" collapsed="false">
      <c r="H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customFormat="false" ht="14.25" hidden="false" customHeight="true" outlineLevel="0" collapsed="false">
      <c r="H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customFormat="false" ht="14.25" hidden="false" customHeight="true" outlineLevel="0" collapsed="false">
      <c r="H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customFormat="false" ht="14.25" hidden="false" customHeight="true" outlineLevel="0" collapsed="false">
      <c r="H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customFormat="false" ht="14.25" hidden="false" customHeight="true" outlineLevel="0" collapsed="false">
      <c r="H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customFormat="false" ht="14.25" hidden="false" customHeight="true" outlineLevel="0" collapsed="false">
      <c r="H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customFormat="false" ht="14.25" hidden="false" customHeight="true" outlineLevel="0" collapsed="false">
      <c r="H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customFormat="false" ht="14.25" hidden="false" customHeight="true" outlineLevel="0" collapsed="false">
      <c r="H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customFormat="false" ht="14.25" hidden="false" customHeight="true" outlineLevel="0" collapsed="false">
      <c r="H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customFormat="false" ht="14.25" hidden="false" customHeight="true" outlineLevel="0" collapsed="false">
      <c r="H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customFormat="false" ht="14.25" hidden="false" customHeight="true" outlineLevel="0" collapsed="false">
      <c r="H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customFormat="false" ht="14.25" hidden="false" customHeight="true" outlineLevel="0" collapsed="false">
      <c r="H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customFormat="false" ht="14.25" hidden="false" customHeight="true" outlineLevel="0" collapsed="false">
      <c r="H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customFormat="false" ht="14.25" hidden="false" customHeight="true" outlineLevel="0" collapsed="false">
      <c r="H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customFormat="false" ht="14.25" hidden="false" customHeight="true" outlineLevel="0" collapsed="false">
      <c r="H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customFormat="false" ht="14.25" hidden="false" customHeight="true" outlineLevel="0" collapsed="false">
      <c r="H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customFormat="false" ht="14.25" hidden="false" customHeight="true" outlineLevel="0" collapsed="false">
      <c r="H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customFormat="false" ht="14.25" hidden="false" customHeight="true" outlineLevel="0" collapsed="false">
      <c r="H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customFormat="false" ht="14.25" hidden="false" customHeight="true" outlineLevel="0" collapsed="false">
      <c r="H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customFormat="false" ht="14.25" hidden="false" customHeight="true" outlineLevel="0" collapsed="false">
      <c r="H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customFormat="false" ht="14.25" hidden="false" customHeight="true" outlineLevel="0" collapsed="false">
      <c r="H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customFormat="false" ht="14.25" hidden="false" customHeight="true" outlineLevel="0" collapsed="false">
      <c r="H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customFormat="false" ht="14.25" hidden="false" customHeight="true" outlineLevel="0" collapsed="false">
      <c r="H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customFormat="false" ht="14.25" hidden="false" customHeight="true" outlineLevel="0" collapsed="false">
      <c r="H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customFormat="false" ht="14.25" hidden="false" customHeight="true" outlineLevel="0" collapsed="false">
      <c r="H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customFormat="false" ht="14.25" hidden="false" customHeight="true" outlineLevel="0" collapsed="false">
      <c r="H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customFormat="false" ht="14.25" hidden="false" customHeight="true" outlineLevel="0" collapsed="false">
      <c r="H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customFormat="false" ht="14.25" hidden="false" customHeight="true" outlineLevel="0" collapsed="false">
      <c r="H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customFormat="false" ht="14.25" hidden="false" customHeight="true" outlineLevel="0" collapsed="false">
      <c r="H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customFormat="false" ht="14.25" hidden="false" customHeight="true" outlineLevel="0" collapsed="false">
      <c r="H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customFormat="false" ht="14.25" hidden="false" customHeight="true" outlineLevel="0" collapsed="false">
      <c r="H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customFormat="false" ht="14.25" hidden="false" customHeight="true" outlineLevel="0" collapsed="false">
      <c r="H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customFormat="false" ht="14.25" hidden="false" customHeight="true" outlineLevel="0" collapsed="false">
      <c r="H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customFormat="false" ht="14.25" hidden="false" customHeight="true" outlineLevel="0" collapsed="false">
      <c r="H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customFormat="false" ht="14.25" hidden="false" customHeight="true" outlineLevel="0" collapsed="false">
      <c r="H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customFormat="false" ht="14.25" hidden="false" customHeight="true" outlineLevel="0" collapsed="false">
      <c r="H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customFormat="false" ht="14.25" hidden="false" customHeight="true" outlineLevel="0" collapsed="false">
      <c r="H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customFormat="false" ht="14.25" hidden="false" customHeight="true" outlineLevel="0" collapsed="false">
      <c r="H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customFormat="false" ht="14.25" hidden="false" customHeight="true" outlineLevel="0" collapsed="false">
      <c r="H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customFormat="false" ht="14.25" hidden="false" customHeight="true" outlineLevel="0" collapsed="false">
      <c r="H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customFormat="false" ht="14.25" hidden="false" customHeight="true" outlineLevel="0" collapsed="false">
      <c r="H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customFormat="false" ht="14.25" hidden="false" customHeight="true" outlineLevel="0" collapsed="false">
      <c r="H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customFormat="false" ht="14.25" hidden="false" customHeight="true" outlineLevel="0" collapsed="false">
      <c r="H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customFormat="false" ht="14.25" hidden="false" customHeight="true" outlineLevel="0" collapsed="false">
      <c r="H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customFormat="false" ht="14.25" hidden="false" customHeight="true" outlineLevel="0" collapsed="false">
      <c r="H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customFormat="false" ht="14.25" hidden="false" customHeight="true" outlineLevel="0" collapsed="false">
      <c r="H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customFormat="false" ht="14.25" hidden="false" customHeight="true" outlineLevel="0" collapsed="false">
      <c r="H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customFormat="false" ht="14.25" hidden="false" customHeight="true" outlineLevel="0" collapsed="false">
      <c r="H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customFormat="false" ht="14.25" hidden="false" customHeight="true" outlineLevel="0" collapsed="false">
      <c r="H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customFormat="false" ht="14.25" hidden="false" customHeight="true" outlineLevel="0" collapsed="false">
      <c r="H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customFormat="false" ht="14.25" hidden="false" customHeight="true" outlineLevel="0" collapsed="false">
      <c r="H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customFormat="false" ht="14.25" hidden="false" customHeight="true" outlineLevel="0" collapsed="false">
      <c r="H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customFormat="false" ht="14.25" hidden="false" customHeight="true" outlineLevel="0" collapsed="false">
      <c r="H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customFormat="false" ht="14.25" hidden="false" customHeight="true" outlineLevel="0" collapsed="false">
      <c r="H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customFormat="false" ht="14.25" hidden="false" customHeight="true" outlineLevel="0" collapsed="false">
      <c r="H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customFormat="false" ht="14.25" hidden="false" customHeight="true" outlineLevel="0" collapsed="false">
      <c r="H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customFormat="false" ht="14.25" hidden="false" customHeight="true" outlineLevel="0" collapsed="false">
      <c r="H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customFormat="false" ht="14.25" hidden="false" customHeight="true" outlineLevel="0" collapsed="false">
      <c r="H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customFormat="false" ht="14.25" hidden="false" customHeight="true" outlineLevel="0" collapsed="false">
      <c r="H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customFormat="false" ht="14.25" hidden="false" customHeight="true" outlineLevel="0" collapsed="false">
      <c r="H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customFormat="false" ht="14.25" hidden="false" customHeight="true" outlineLevel="0" collapsed="false">
      <c r="H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customFormat="false" ht="14.25" hidden="false" customHeight="true" outlineLevel="0" collapsed="false">
      <c r="H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customFormat="false" ht="14.25" hidden="false" customHeight="true" outlineLevel="0" collapsed="false">
      <c r="H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customFormat="false" ht="14.25" hidden="false" customHeight="true" outlineLevel="0" collapsed="false">
      <c r="H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customFormat="false" ht="14.25" hidden="false" customHeight="true" outlineLevel="0" collapsed="false">
      <c r="H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customFormat="false" ht="14.25" hidden="false" customHeight="true" outlineLevel="0" collapsed="false">
      <c r="H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customFormat="false" ht="14.25" hidden="false" customHeight="true" outlineLevel="0" collapsed="false">
      <c r="H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customFormat="false" ht="14.25" hidden="false" customHeight="true" outlineLevel="0" collapsed="false">
      <c r="H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customFormat="false" ht="14.25" hidden="false" customHeight="true" outlineLevel="0" collapsed="false">
      <c r="H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customFormat="false" ht="14.25" hidden="false" customHeight="true" outlineLevel="0" collapsed="false">
      <c r="H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customFormat="false" ht="14.25" hidden="false" customHeight="true" outlineLevel="0" collapsed="false">
      <c r="H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customFormat="false" ht="14.25" hidden="false" customHeight="true" outlineLevel="0" collapsed="false">
      <c r="H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customFormat="false" ht="14.25" hidden="false" customHeight="true" outlineLevel="0" collapsed="false">
      <c r="H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customFormat="false" ht="14.25" hidden="false" customHeight="true" outlineLevel="0" collapsed="false">
      <c r="H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customFormat="false" ht="14.25" hidden="false" customHeight="true" outlineLevel="0" collapsed="false">
      <c r="H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customFormat="false" ht="14.25" hidden="false" customHeight="true" outlineLevel="0" collapsed="false">
      <c r="H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customFormat="false" ht="14.25" hidden="false" customHeight="true" outlineLevel="0" collapsed="false">
      <c r="H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customFormat="false" ht="14.25" hidden="false" customHeight="true" outlineLevel="0" collapsed="false">
      <c r="H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customFormat="false" ht="14.25" hidden="false" customHeight="true" outlineLevel="0" collapsed="false">
      <c r="H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customFormat="false" ht="14.25" hidden="false" customHeight="true" outlineLevel="0" collapsed="false">
      <c r="H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customFormat="false" ht="14.25" hidden="false" customHeight="true" outlineLevel="0" collapsed="false">
      <c r="H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customFormat="false" ht="14.25" hidden="false" customHeight="true" outlineLevel="0" collapsed="false">
      <c r="H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customFormat="false" ht="14.25" hidden="false" customHeight="true" outlineLevel="0" collapsed="false">
      <c r="H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customFormat="false" ht="14.25" hidden="false" customHeight="true" outlineLevel="0" collapsed="false">
      <c r="H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customFormat="false" ht="14.25" hidden="false" customHeight="true" outlineLevel="0" collapsed="false">
      <c r="H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customFormat="false" ht="14.25" hidden="false" customHeight="true" outlineLevel="0" collapsed="false">
      <c r="H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customFormat="false" ht="14.25" hidden="false" customHeight="true" outlineLevel="0" collapsed="false">
      <c r="H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customFormat="false" ht="14.25" hidden="false" customHeight="true" outlineLevel="0" collapsed="false">
      <c r="H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customFormat="false" ht="14.25" hidden="false" customHeight="true" outlineLevel="0" collapsed="false">
      <c r="H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customFormat="false" ht="14.25" hidden="false" customHeight="true" outlineLevel="0" collapsed="false">
      <c r="H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customFormat="false" ht="14.25" hidden="false" customHeight="true" outlineLevel="0" collapsed="false">
      <c r="H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customFormat="false" ht="14.25" hidden="false" customHeight="true" outlineLevel="0" collapsed="false">
      <c r="H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customFormat="false" ht="14.25" hidden="false" customHeight="true" outlineLevel="0" collapsed="false">
      <c r="H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customFormat="false" ht="14.25" hidden="false" customHeight="true" outlineLevel="0" collapsed="false">
      <c r="H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customFormat="false" ht="14.25" hidden="false" customHeight="true" outlineLevel="0" collapsed="false">
      <c r="H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customFormat="false" ht="14.25" hidden="false" customHeight="true" outlineLevel="0" collapsed="false">
      <c r="H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customFormat="false" ht="14.25" hidden="false" customHeight="true" outlineLevel="0" collapsed="false">
      <c r="H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customFormat="false" ht="14.25" hidden="false" customHeight="true" outlineLevel="0" collapsed="false">
      <c r="H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 customFormat="false" ht="14.25" hidden="false" customHeight="true" outlineLevel="0" collapsed="false">
      <c r="H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 customFormat="false" ht="14.25" hidden="false" customHeight="true" outlineLevel="0" collapsed="false">
      <c r="H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 customFormat="false" ht="14.25" hidden="false" customHeight="true" outlineLevel="0" collapsed="false">
      <c r="H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 customFormat="false" ht="14.25" hidden="false" customHeight="true" outlineLevel="0" collapsed="false">
      <c r="H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 customFormat="false" ht="14.25" hidden="false" customHeight="true" outlineLevel="0" collapsed="false">
      <c r="H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 customFormat="false" ht="14.25" hidden="false" customHeight="true" outlineLevel="0" collapsed="false">
      <c r="H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 customFormat="false" ht="14.25" hidden="false" customHeight="true" outlineLevel="0" collapsed="false">
      <c r="H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 customFormat="false" ht="14.25" hidden="false" customHeight="true" outlineLevel="0" collapsed="false">
      <c r="H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 customFormat="false" ht="14.25" hidden="false" customHeight="true" outlineLevel="0" collapsed="false">
      <c r="H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 customFormat="false" ht="14.25" hidden="false" customHeight="true" outlineLevel="0" collapsed="false">
      <c r="H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 customFormat="false" ht="14.25" hidden="false" customHeight="true" outlineLevel="0" collapsed="false">
      <c r="H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 customFormat="false" ht="14.25" hidden="false" customHeight="true" outlineLevel="0" collapsed="false">
      <c r="H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 customFormat="false" ht="14.25" hidden="false" customHeight="true" outlineLevel="0" collapsed="false">
      <c r="H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 customFormat="false" ht="14.25" hidden="false" customHeight="true" outlineLevel="0" collapsed="false">
      <c r="H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 customFormat="false" ht="14.25" hidden="false" customHeight="true" outlineLevel="0" collapsed="false">
      <c r="H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 customFormat="false" ht="14.25" hidden="false" customHeight="true" outlineLevel="0" collapsed="false">
      <c r="H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 customFormat="false" ht="14.25" hidden="false" customHeight="true" outlineLevel="0" collapsed="false">
      <c r="H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 customFormat="false" ht="14.25" hidden="false" customHeight="true" outlineLevel="0" collapsed="false">
      <c r="H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 customFormat="false" ht="14.25" hidden="false" customHeight="true" outlineLevel="0" collapsed="false">
      <c r="H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 customFormat="false" ht="14.25" hidden="false" customHeight="true" outlineLevel="0" collapsed="false">
      <c r="H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 customFormat="false" ht="14.25" hidden="false" customHeight="true" outlineLevel="0" collapsed="false">
      <c r="H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 customFormat="false" ht="14.25" hidden="false" customHeight="true" outlineLevel="0" collapsed="false">
      <c r="H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 customFormat="false" ht="14.25" hidden="false" customHeight="true" outlineLevel="0" collapsed="false">
      <c r="H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 customFormat="false" ht="14.25" hidden="false" customHeight="true" outlineLevel="0" collapsed="false">
      <c r="H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 customFormat="false" ht="14.25" hidden="false" customHeight="true" outlineLevel="0" collapsed="false">
      <c r="H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 customFormat="false" ht="14.25" hidden="false" customHeight="true" outlineLevel="0" collapsed="false">
      <c r="H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 customFormat="false" ht="14.25" hidden="false" customHeight="true" outlineLevel="0" collapsed="false">
      <c r="H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 customFormat="false" ht="14.25" hidden="false" customHeight="true" outlineLevel="0" collapsed="false">
      <c r="H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 customFormat="false" ht="14.25" hidden="false" customHeight="true" outlineLevel="0" collapsed="false">
      <c r="H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 customFormat="false" ht="14.25" hidden="false" customHeight="true" outlineLevel="0" collapsed="false">
      <c r="H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 customFormat="false" ht="14.25" hidden="false" customHeight="true" outlineLevel="0" collapsed="false">
      <c r="H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 customFormat="false" ht="14.25" hidden="false" customHeight="true" outlineLevel="0" collapsed="false">
      <c r="H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 customFormat="false" ht="14.25" hidden="false" customHeight="true" outlineLevel="0" collapsed="false">
      <c r="H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 customFormat="false" ht="14.25" hidden="false" customHeight="true" outlineLevel="0" collapsed="false">
      <c r="H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 customFormat="false" ht="14.25" hidden="false" customHeight="true" outlineLevel="0" collapsed="false">
      <c r="H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 customFormat="false" ht="14.25" hidden="false" customHeight="true" outlineLevel="0" collapsed="false">
      <c r="H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 customFormat="false" ht="14.25" hidden="false" customHeight="true" outlineLevel="0" collapsed="false">
      <c r="H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 customFormat="false" ht="14.25" hidden="false" customHeight="true" outlineLevel="0" collapsed="false">
      <c r="H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 customFormat="false" ht="14.25" hidden="false" customHeight="true" outlineLevel="0" collapsed="false">
      <c r="H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 customFormat="false" ht="14.25" hidden="false" customHeight="true" outlineLevel="0" collapsed="false">
      <c r="H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 customFormat="false" ht="14.25" hidden="false" customHeight="true" outlineLevel="0" collapsed="false">
      <c r="H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 customFormat="false" ht="14.25" hidden="false" customHeight="true" outlineLevel="0" collapsed="false">
      <c r="H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 customFormat="false" ht="14.25" hidden="false" customHeight="true" outlineLevel="0" collapsed="false">
      <c r="H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 customFormat="false" ht="14.25" hidden="false" customHeight="true" outlineLevel="0" collapsed="false">
      <c r="H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 customFormat="false" ht="14.25" hidden="false" customHeight="true" outlineLevel="0" collapsed="false">
      <c r="H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 customFormat="false" ht="14.25" hidden="false" customHeight="true" outlineLevel="0" collapsed="false">
      <c r="H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 customFormat="false" ht="14.25" hidden="false" customHeight="true" outlineLevel="0" collapsed="false">
      <c r="H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 customFormat="false" ht="14.25" hidden="false" customHeight="true" outlineLevel="0" collapsed="false">
      <c r="H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 customFormat="false" ht="14.25" hidden="false" customHeight="true" outlineLevel="0" collapsed="false">
      <c r="H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 customFormat="false" ht="14.25" hidden="false" customHeight="true" outlineLevel="0" collapsed="false">
      <c r="H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 customFormat="false" ht="14.25" hidden="false" customHeight="true" outlineLevel="0" collapsed="false">
      <c r="H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 customFormat="false" ht="14.25" hidden="false" customHeight="true" outlineLevel="0" collapsed="false">
      <c r="H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 customFormat="false" ht="14.25" hidden="false" customHeight="true" outlineLevel="0" collapsed="false">
      <c r="H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 customFormat="false" ht="14.25" hidden="false" customHeight="true" outlineLevel="0" collapsed="false">
      <c r="H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 customFormat="false" ht="14.25" hidden="false" customHeight="true" outlineLevel="0" collapsed="false">
      <c r="H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 customFormat="false" ht="14.25" hidden="false" customHeight="true" outlineLevel="0" collapsed="false">
      <c r="H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 customFormat="false" ht="14.25" hidden="false" customHeight="true" outlineLevel="0" collapsed="false">
      <c r="H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 customFormat="false" ht="14.25" hidden="false" customHeight="true" outlineLevel="0" collapsed="false">
      <c r="H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 customFormat="false" ht="14.25" hidden="false" customHeight="true" outlineLevel="0" collapsed="false">
      <c r="H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 customFormat="false" ht="14.25" hidden="false" customHeight="true" outlineLevel="0" collapsed="false">
      <c r="H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 customFormat="false" ht="14.25" hidden="false" customHeight="true" outlineLevel="0" collapsed="false">
      <c r="H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 customFormat="false" ht="14.25" hidden="false" customHeight="true" outlineLevel="0" collapsed="false">
      <c r="H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 customFormat="false" ht="14.25" hidden="false" customHeight="true" outlineLevel="0" collapsed="false">
      <c r="H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 customFormat="false" ht="14.25" hidden="false" customHeight="true" outlineLevel="0" collapsed="false">
      <c r="H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 customFormat="false" ht="14.25" hidden="false" customHeight="true" outlineLevel="0" collapsed="false">
      <c r="H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 customFormat="false" ht="14.25" hidden="false" customHeight="true" outlineLevel="0" collapsed="false">
      <c r="H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 customFormat="false" ht="14.25" hidden="false" customHeight="true" outlineLevel="0" collapsed="false">
      <c r="H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 customFormat="false" ht="14.25" hidden="false" customHeight="true" outlineLevel="0" collapsed="false">
      <c r="H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 customFormat="false" ht="14.25" hidden="false" customHeight="true" outlineLevel="0" collapsed="false">
      <c r="H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 customFormat="false" ht="14.25" hidden="false" customHeight="true" outlineLevel="0" collapsed="false">
      <c r="H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 customFormat="false" ht="14.25" hidden="false" customHeight="true" outlineLevel="0" collapsed="false">
      <c r="H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 customFormat="false" ht="14.25" hidden="false" customHeight="true" outlineLevel="0" collapsed="false">
      <c r="H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 customFormat="false" ht="14.25" hidden="false" customHeight="true" outlineLevel="0" collapsed="false">
      <c r="H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 customFormat="false" ht="14.25" hidden="false" customHeight="true" outlineLevel="0" collapsed="false">
      <c r="H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 customFormat="false" ht="14.25" hidden="false" customHeight="true" outlineLevel="0" collapsed="false">
      <c r="H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 customFormat="false" ht="14.25" hidden="false" customHeight="true" outlineLevel="0" collapsed="false">
      <c r="H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 customFormat="false" ht="14.25" hidden="false" customHeight="true" outlineLevel="0" collapsed="false">
      <c r="H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 customFormat="false" ht="14.25" hidden="false" customHeight="true" outlineLevel="0" collapsed="false">
      <c r="H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 customFormat="false" ht="14.25" hidden="false" customHeight="true" outlineLevel="0" collapsed="false">
      <c r="H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 customFormat="false" ht="14.25" hidden="false" customHeight="true" outlineLevel="0" collapsed="false">
      <c r="H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 customFormat="false" ht="14.25" hidden="false" customHeight="true" outlineLevel="0" collapsed="false">
      <c r="H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 customFormat="false" ht="14.25" hidden="false" customHeight="true" outlineLevel="0" collapsed="false">
      <c r="H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 customFormat="false" ht="14.25" hidden="false" customHeight="true" outlineLevel="0" collapsed="false">
      <c r="H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 customFormat="false" ht="14.25" hidden="false" customHeight="true" outlineLevel="0" collapsed="false">
      <c r="H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 customFormat="false" ht="14.25" hidden="false" customHeight="true" outlineLevel="0" collapsed="false">
      <c r="H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 customFormat="false" ht="14.25" hidden="false" customHeight="true" outlineLevel="0" collapsed="false">
      <c r="H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 customFormat="false" ht="14.25" hidden="false" customHeight="true" outlineLevel="0" collapsed="false">
      <c r="H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 customFormat="false" ht="14.25" hidden="false" customHeight="true" outlineLevel="0" collapsed="false">
      <c r="H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 customFormat="false" ht="14.25" hidden="false" customHeight="true" outlineLevel="0" collapsed="false">
      <c r="H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 customFormat="false" ht="14.25" hidden="false" customHeight="true" outlineLevel="0" collapsed="false">
      <c r="H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 customFormat="false" ht="14.25" hidden="false" customHeight="true" outlineLevel="0" collapsed="false">
      <c r="H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 customFormat="false" ht="14.25" hidden="false" customHeight="true" outlineLevel="0" collapsed="false">
      <c r="H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 customFormat="false" ht="14.25" hidden="false" customHeight="true" outlineLevel="0" collapsed="false">
      <c r="H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 customFormat="false" ht="14.25" hidden="false" customHeight="true" outlineLevel="0" collapsed="false">
      <c r="H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 customFormat="false" ht="14.25" hidden="false" customHeight="true" outlineLevel="0" collapsed="false">
      <c r="H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 customFormat="false" ht="14.25" hidden="false" customHeight="true" outlineLevel="0" collapsed="false">
      <c r="H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 customFormat="false" ht="14.25" hidden="false" customHeight="true" outlineLevel="0" collapsed="false">
      <c r="H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 customFormat="false" ht="14.25" hidden="false" customHeight="true" outlineLevel="0" collapsed="false">
      <c r="H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 customFormat="false" ht="14.25" hidden="false" customHeight="true" outlineLevel="0" collapsed="false">
      <c r="H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 customFormat="false" ht="14.25" hidden="false" customHeight="true" outlineLevel="0" collapsed="false">
      <c r="H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 customFormat="false" ht="14.25" hidden="false" customHeight="true" outlineLevel="0" collapsed="false">
      <c r="H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 customFormat="false" ht="14.25" hidden="false" customHeight="true" outlineLevel="0" collapsed="false">
      <c r="H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 customFormat="false" ht="14.25" hidden="false" customHeight="true" outlineLevel="0" collapsed="false">
      <c r="H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 customFormat="false" ht="14.25" hidden="false" customHeight="true" outlineLevel="0" collapsed="false">
      <c r="H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 customFormat="false" ht="14.25" hidden="false" customHeight="true" outlineLevel="0" collapsed="false">
      <c r="H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 customFormat="false" ht="14.25" hidden="false" customHeight="true" outlineLevel="0" collapsed="false">
      <c r="H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 customFormat="false" ht="14.25" hidden="false" customHeight="true" outlineLevel="0" collapsed="false">
      <c r="H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 customFormat="false" ht="14.25" hidden="false" customHeight="true" outlineLevel="0" collapsed="false">
      <c r="H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 customFormat="false" ht="14.25" hidden="false" customHeight="true" outlineLevel="0" collapsed="false">
      <c r="H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 customFormat="false" ht="14.25" hidden="false" customHeight="true" outlineLevel="0" collapsed="false">
      <c r="H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 customFormat="false" ht="14.25" hidden="false" customHeight="true" outlineLevel="0" collapsed="false">
      <c r="H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 customFormat="false" ht="14.25" hidden="false" customHeight="true" outlineLevel="0" collapsed="false">
      <c r="H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 customFormat="false" ht="14.25" hidden="false" customHeight="true" outlineLevel="0" collapsed="false">
      <c r="H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 customFormat="false" ht="14.25" hidden="false" customHeight="true" outlineLevel="0" collapsed="false">
      <c r="H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 customFormat="false" ht="14.25" hidden="false" customHeight="true" outlineLevel="0" collapsed="false">
      <c r="H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 customFormat="false" ht="14.25" hidden="false" customHeight="true" outlineLevel="0" collapsed="false">
      <c r="H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 customFormat="false" ht="14.25" hidden="false" customHeight="true" outlineLevel="0" collapsed="false">
      <c r="H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 customFormat="false" ht="14.25" hidden="false" customHeight="true" outlineLevel="0" collapsed="false">
      <c r="H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 customFormat="false" ht="14.25" hidden="false" customHeight="true" outlineLevel="0" collapsed="false">
      <c r="H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 customFormat="false" ht="14.25" hidden="false" customHeight="true" outlineLevel="0" collapsed="false">
      <c r="H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 customFormat="false" ht="14.25" hidden="false" customHeight="true" outlineLevel="0" collapsed="false">
      <c r="H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 customFormat="false" ht="14.25" hidden="false" customHeight="true" outlineLevel="0" collapsed="false">
      <c r="H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 customFormat="false" ht="14.25" hidden="false" customHeight="true" outlineLevel="0" collapsed="false">
      <c r="H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 customFormat="false" ht="14.25" hidden="false" customHeight="true" outlineLevel="0" collapsed="false">
      <c r="H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 customFormat="false" ht="14.25" hidden="false" customHeight="true" outlineLevel="0" collapsed="false">
      <c r="H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 customFormat="false" ht="14.25" hidden="false" customHeight="true" outlineLevel="0" collapsed="false">
      <c r="H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 customFormat="false" ht="14.25" hidden="false" customHeight="true" outlineLevel="0" collapsed="false">
      <c r="H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 customFormat="false" ht="14.25" hidden="false" customHeight="true" outlineLevel="0" collapsed="false">
      <c r="H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 customFormat="false" ht="14.25" hidden="false" customHeight="true" outlineLevel="0" collapsed="false">
      <c r="H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 customFormat="false" ht="14.25" hidden="false" customHeight="true" outlineLevel="0" collapsed="false">
      <c r="H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 customFormat="false" ht="14.25" hidden="false" customHeight="true" outlineLevel="0" collapsed="false">
      <c r="H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 customFormat="false" ht="14.25" hidden="false" customHeight="true" outlineLevel="0" collapsed="false">
      <c r="H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 customFormat="false" ht="14.25" hidden="false" customHeight="true" outlineLevel="0" collapsed="false">
      <c r="H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 customFormat="false" ht="14.25" hidden="false" customHeight="true" outlineLevel="0" collapsed="false">
      <c r="H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 customFormat="false" ht="14.25" hidden="false" customHeight="true" outlineLevel="0" collapsed="false">
      <c r="H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 customFormat="false" ht="14.25" hidden="false" customHeight="true" outlineLevel="0" collapsed="false">
      <c r="H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 customFormat="false" ht="14.25" hidden="false" customHeight="true" outlineLevel="0" collapsed="false">
      <c r="H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 customFormat="false" ht="14.25" hidden="false" customHeight="true" outlineLevel="0" collapsed="false">
      <c r="H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 customFormat="false" ht="14.25" hidden="false" customHeight="true" outlineLevel="0" collapsed="false">
      <c r="H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 customFormat="false" ht="14.25" hidden="false" customHeight="true" outlineLevel="0" collapsed="false">
      <c r="H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 customFormat="false" ht="14.25" hidden="false" customHeight="true" outlineLevel="0" collapsed="false">
      <c r="H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 customFormat="false" ht="14.25" hidden="false" customHeight="true" outlineLevel="0" collapsed="false">
      <c r="H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 customFormat="false" ht="14.25" hidden="false" customHeight="true" outlineLevel="0" collapsed="false">
      <c r="H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 customFormat="false" ht="14.25" hidden="false" customHeight="true" outlineLevel="0" collapsed="false">
      <c r="H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 customFormat="false" ht="14.25" hidden="false" customHeight="true" outlineLevel="0" collapsed="false">
      <c r="H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 customFormat="false" ht="14.25" hidden="false" customHeight="true" outlineLevel="0" collapsed="false">
      <c r="H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 customFormat="false" ht="14.25" hidden="false" customHeight="true" outlineLevel="0" collapsed="false">
      <c r="H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 customFormat="false" ht="14.25" hidden="false" customHeight="true" outlineLevel="0" collapsed="false">
      <c r="H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 customFormat="false" ht="14.25" hidden="false" customHeight="true" outlineLevel="0" collapsed="false">
      <c r="H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 customFormat="false" ht="14.25" hidden="false" customHeight="true" outlineLevel="0" collapsed="false">
      <c r="H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 customFormat="false" ht="14.25" hidden="false" customHeight="true" outlineLevel="0" collapsed="false">
      <c r="H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 customFormat="false" ht="14.25" hidden="false" customHeight="true" outlineLevel="0" collapsed="false">
      <c r="H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 customFormat="false" ht="14.25" hidden="false" customHeight="true" outlineLevel="0" collapsed="false">
      <c r="H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 customFormat="false" ht="14.25" hidden="false" customHeight="true" outlineLevel="0" collapsed="false">
      <c r="H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 customFormat="false" ht="14.25" hidden="false" customHeight="true" outlineLevel="0" collapsed="false">
      <c r="H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 customFormat="false" ht="14.25" hidden="false" customHeight="true" outlineLevel="0" collapsed="false">
      <c r="H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 customFormat="false" ht="14.25" hidden="false" customHeight="true" outlineLevel="0" collapsed="false">
      <c r="H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 customFormat="false" ht="14.25" hidden="false" customHeight="true" outlineLevel="0" collapsed="false">
      <c r="H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 customFormat="false" ht="14.25" hidden="false" customHeight="true" outlineLevel="0" collapsed="false">
      <c r="H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 customFormat="false" ht="14.25" hidden="false" customHeight="true" outlineLevel="0" collapsed="false">
      <c r="H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 customFormat="false" ht="14.25" hidden="false" customHeight="true" outlineLevel="0" collapsed="false">
      <c r="H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 customFormat="false" ht="14.25" hidden="false" customHeight="true" outlineLevel="0" collapsed="false">
      <c r="H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 customFormat="false" ht="14.25" hidden="false" customHeight="true" outlineLevel="0" collapsed="false">
      <c r="H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 customFormat="false" ht="14.25" hidden="false" customHeight="true" outlineLevel="0" collapsed="false">
      <c r="H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 customFormat="false" ht="14.25" hidden="false" customHeight="true" outlineLevel="0" collapsed="false">
      <c r="H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 customFormat="false" ht="14.25" hidden="false" customHeight="true" outlineLevel="0" collapsed="false">
      <c r="H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 customFormat="false" ht="14.25" hidden="false" customHeight="true" outlineLevel="0" collapsed="false">
      <c r="H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 customFormat="false" ht="14.25" hidden="false" customHeight="true" outlineLevel="0" collapsed="false">
      <c r="H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 customFormat="false" ht="14.25" hidden="false" customHeight="true" outlineLevel="0" collapsed="false">
      <c r="H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 customFormat="false" ht="14.25" hidden="false" customHeight="true" outlineLevel="0" collapsed="false">
      <c r="H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 customFormat="false" ht="14.25" hidden="false" customHeight="true" outlineLevel="0" collapsed="false">
      <c r="H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 customFormat="false" ht="14.25" hidden="false" customHeight="true" outlineLevel="0" collapsed="false">
      <c r="H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 customFormat="false" ht="14.25" hidden="false" customHeight="true" outlineLevel="0" collapsed="false">
      <c r="H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 customFormat="false" ht="14.25" hidden="false" customHeight="true" outlineLevel="0" collapsed="false">
      <c r="H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 customFormat="false" ht="14.25" hidden="false" customHeight="true" outlineLevel="0" collapsed="false">
      <c r="H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 customFormat="false" ht="14.25" hidden="false" customHeight="true" outlineLevel="0" collapsed="false">
      <c r="H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 customFormat="false" ht="14.25" hidden="false" customHeight="true" outlineLevel="0" collapsed="false">
      <c r="H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 customFormat="false" ht="14.25" hidden="false" customHeight="true" outlineLevel="0" collapsed="false">
      <c r="H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 customFormat="false" ht="14.25" hidden="false" customHeight="true" outlineLevel="0" collapsed="false">
      <c r="H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 customFormat="false" ht="14.25" hidden="false" customHeight="true" outlineLevel="0" collapsed="false">
      <c r="H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 customFormat="false" ht="14.25" hidden="false" customHeight="true" outlineLevel="0" collapsed="false">
      <c r="H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 customFormat="false" ht="14.25" hidden="false" customHeight="true" outlineLevel="0" collapsed="false">
      <c r="H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 customFormat="false" ht="14.25" hidden="false" customHeight="true" outlineLevel="0" collapsed="false">
      <c r="H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 customFormat="false" ht="14.25" hidden="false" customHeight="true" outlineLevel="0" collapsed="false">
      <c r="H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 customFormat="false" ht="14.25" hidden="false" customHeight="true" outlineLevel="0" collapsed="false">
      <c r="H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 customFormat="false" ht="14.25" hidden="false" customHeight="true" outlineLevel="0" collapsed="false">
      <c r="H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 customFormat="false" ht="14.25" hidden="false" customHeight="true" outlineLevel="0" collapsed="false">
      <c r="H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 customFormat="false" ht="14.25" hidden="false" customHeight="true" outlineLevel="0" collapsed="false">
      <c r="H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 customFormat="false" ht="14.25" hidden="false" customHeight="true" outlineLevel="0" collapsed="false">
      <c r="H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 customFormat="false" ht="14.25" hidden="false" customHeight="true" outlineLevel="0" collapsed="false">
      <c r="H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 customFormat="false" ht="14.25" hidden="false" customHeight="true" outlineLevel="0" collapsed="false">
      <c r="H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 customFormat="false" ht="14.25" hidden="false" customHeight="true" outlineLevel="0" collapsed="false">
      <c r="H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 customFormat="false" ht="14.25" hidden="false" customHeight="true" outlineLevel="0" collapsed="false">
      <c r="H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 customFormat="false" ht="14.25" hidden="false" customHeight="true" outlineLevel="0" collapsed="false">
      <c r="H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 customFormat="false" ht="14.25" hidden="false" customHeight="true" outlineLevel="0" collapsed="false">
      <c r="H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 customFormat="false" ht="14.25" hidden="false" customHeight="true" outlineLevel="0" collapsed="false">
      <c r="H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 customFormat="false" ht="14.25" hidden="false" customHeight="true" outlineLevel="0" collapsed="false">
      <c r="H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 customFormat="false" ht="14.25" hidden="false" customHeight="true" outlineLevel="0" collapsed="false">
      <c r="H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 customFormat="false" ht="14.25" hidden="false" customHeight="true" outlineLevel="0" collapsed="false">
      <c r="H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 customFormat="false" ht="14.25" hidden="false" customHeight="true" outlineLevel="0" collapsed="false">
      <c r="H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 customFormat="false" ht="14.25" hidden="false" customHeight="true" outlineLevel="0" collapsed="false">
      <c r="H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 customFormat="false" ht="14.25" hidden="false" customHeight="true" outlineLevel="0" collapsed="false">
      <c r="H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 customFormat="false" ht="14.25" hidden="false" customHeight="true" outlineLevel="0" collapsed="false">
      <c r="H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 customFormat="false" ht="14.25" hidden="false" customHeight="true" outlineLevel="0" collapsed="false">
      <c r="H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 customFormat="false" ht="14.25" hidden="false" customHeight="true" outlineLevel="0" collapsed="false">
      <c r="H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 customFormat="false" ht="14.25" hidden="false" customHeight="true" outlineLevel="0" collapsed="false">
      <c r="H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 customFormat="false" ht="14.25" hidden="false" customHeight="true" outlineLevel="0" collapsed="false">
      <c r="H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 customFormat="false" ht="14.25" hidden="false" customHeight="true" outlineLevel="0" collapsed="false">
      <c r="H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 customFormat="false" ht="14.25" hidden="false" customHeight="true" outlineLevel="0" collapsed="false">
      <c r="H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 customFormat="false" ht="14.25" hidden="false" customHeight="true" outlineLevel="0" collapsed="false">
      <c r="H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 customFormat="false" ht="14.25" hidden="false" customHeight="true" outlineLevel="0" collapsed="false">
      <c r="H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 customFormat="false" ht="14.25" hidden="false" customHeight="true" outlineLevel="0" collapsed="false">
      <c r="H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 customFormat="false" ht="14.25" hidden="false" customHeight="true" outlineLevel="0" collapsed="false">
      <c r="H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 customFormat="false" ht="14.25" hidden="false" customHeight="true" outlineLevel="0" collapsed="false">
      <c r="H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 customFormat="false" ht="14.25" hidden="false" customHeight="true" outlineLevel="0" collapsed="false">
      <c r="H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 customFormat="false" ht="14.25" hidden="false" customHeight="true" outlineLevel="0" collapsed="false">
      <c r="H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 customFormat="false" ht="14.25" hidden="false" customHeight="true" outlineLevel="0" collapsed="false">
      <c r="H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 customFormat="false" ht="14.25" hidden="false" customHeight="true" outlineLevel="0" collapsed="false">
      <c r="H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 customFormat="false" ht="14.25" hidden="false" customHeight="true" outlineLevel="0" collapsed="false">
      <c r="H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 customFormat="false" ht="14.25" hidden="false" customHeight="true" outlineLevel="0" collapsed="false">
      <c r="H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 customFormat="false" ht="14.25" hidden="false" customHeight="true" outlineLevel="0" collapsed="false">
      <c r="H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 customFormat="false" ht="14.25" hidden="false" customHeight="true" outlineLevel="0" collapsed="false">
      <c r="H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 customFormat="false" ht="14.25" hidden="false" customHeight="true" outlineLevel="0" collapsed="false">
      <c r="H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 customFormat="false" ht="14.25" hidden="false" customHeight="true" outlineLevel="0" collapsed="false">
      <c r="H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 customFormat="false" ht="14.25" hidden="false" customHeight="true" outlineLevel="0" collapsed="false">
      <c r="H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 customFormat="false" ht="14.25" hidden="false" customHeight="true" outlineLevel="0" collapsed="false">
      <c r="H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 customFormat="false" ht="14.25" hidden="false" customHeight="true" outlineLevel="0" collapsed="false">
      <c r="H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 customFormat="false" ht="14.25" hidden="false" customHeight="true" outlineLevel="0" collapsed="false">
      <c r="H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 customFormat="false" ht="14.25" hidden="false" customHeight="true" outlineLevel="0" collapsed="false">
      <c r="H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 customFormat="false" ht="14.25" hidden="false" customHeight="true" outlineLevel="0" collapsed="false">
      <c r="H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 customFormat="false" ht="14.25" hidden="false" customHeight="true" outlineLevel="0" collapsed="false">
      <c r="H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 customFormat="false" ht="14.25" hidden="false" customHeight="true" outlineLevel="0" collapsed="false">
      <c r="H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 customFormat="false" ht="14.25" hidden="false" customHeight="true" outlineLevel="0" collapsed="false">
      <c r="H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 customFormat="false" ht="14.25" hidden="false" customHeight="true" outlineLevel="0" collapsed="false">
      <c r="H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 customFormat="false" ht="14.25" hidden="false" customHeight="true" outlineLevel="0" collapsed="false">
      <c r="H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 customFormat="false" ht="14.25" hidden="false" customHeight="true" outlineLevel="0" collapsed="false">
      <c r="H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 customFormat="false" ht="14.25" hidden="false" customHeight="true" outlineLevel="0" collapsed="false">
      <c r="H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 customFormat="false" ht="14.25" hidden="false" customHeight="true" outlineLevel="0" collapsed="false">
      <c r="H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 customFormat="false" ht="14.25" hidden="false" customHeight="true" outlineLevel="0" collapsed="false">
      <c r="H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 customFormat="false" ht="14.25" hidden="false" customHeight="true" outlineLevel="0" collapsed="false">
      <c r="H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 customFormat="false" ht="14.25" hidden="false" customHeight="true" outlineLevel="0" collapsed="false">
      <c r="H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 customFormat="false" ht="14.25" hidden="false" customHeight="true" outlineLevel="0" collapsed="false">
      <c r="H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 customFormat="false" ht="14.25" hidden="false" customHeight="true" outlineLevel="0" collapsed="false">
      <c r="H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 customFormat="false" ht="14.25" hidden="false" customHeight="true" outlineLevel="0" collapsed="false">
      <c r="H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 customFormat="false" ht="14.25" hidden="false" customHeight="true" outlineLevel="0" collapsed="false">
      <c r="H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 customFormat="false" ht="14.25" hidden="false" customHeight="true" outlineLevel="0" collapsed="false">
      <c r="H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 customFormat="false" ht="14.25" hidden="false" customHeight="true" outlineLevel="0" collapsed="false">
      <c r="H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 customFormat="false" ht="14.25" hidden="false" customHeight="true" outlineLevel="0" collapsed="false">
      <c r="H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 customFormat="false" ht="14.25" hidden="false" customHeight="true" outlineLevel="0" collapsed="false">
      <c r="H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 customFormat="false" ht="14.25" hidden="false" customHeight="true" outlineLevel="0" collapsed="false">
      <c r="H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 customFormat="false" ht="14.25" hidden="false" customHeight="true" outlineLevel="0" collapsed="false">
      <c r="H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 customFormat="false" ht="14.25" hidden="false" customHeight="true" outlineLevel="0" collapsed="false">
      <c r="H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 customFormat="false" ht="14.25" hidden="false" customHeight="true" outlineLevel="0" collapsed="false">
      <c r="H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 customFormat="false" ht="14.25" hidden="false" customHeight="true" outlineLevel="0" collapsed="false">
      <c r="H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 customFormat="false" ht="14.25" hidden="false" customHeight="true" outlineLevel="0" collapsed="false">
      <c r="H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 customFormat="false" ht="14.25" hidden="false" customHeight="true" outlineLevel="0" collapsed="false">
      <c r="H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 customFormat="false" ht="14.25" hidden="false" customHeight="true" outlineLevel="0" collapsed="false">
      <c r="H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customFormat="false" ht="14.25" hidden="false" customHeight="true" outlineLevel="0" collapsed="false">
      <c r="H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customFormat="false" ht="14.25" hidden="false" customHeight="true" outlineLevel="0" collapsed="false">
      <c r="H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 customFormat="false" ht="14.25" hidden="false" customHeight="true" outlineLevel="0" collapsed="false">
      <c r="H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 customFormat="false" ht="14.25" hidden="false" customHeight="true" outlineLevel="0" collapsed="false">
      <c r="H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 customFormat="false" ht="14.25" hidden="false" customHeight="true" outlineLevel="0" collapsed="false">
      <c r="H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 customFormat="false" ht="14.25" hidden="false" customHeight="true" outlineLevel="0" collapsed="false">
      <c r="H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 customFormat="false" ht="14.25" hidden="false" customHeight="true" outlineLevel="0" collapsed="false">
      <c r="H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 customFormat="false" ht="14.25" hidden="false" customHeight="true" outlineLevel="0" collapsed="false">
      <c r="H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 customFormat="false" ht="14.25" hidden="false" customHeight="true" outlineLevel="0" collapsed="false">
      <c r="H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 customFormat="false" ht="14.25" hidden="false" customHeight="true" outlineLevel="0" collapsed="false">
      <c r="H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 customFormat="false" ht="14.25" hidden="false" customHeight="true" outlineLevel="0" collapsed="false">
      <c r="H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 customFormat="false" ht="14.25" hidden="false" customHeight="true" outlineLevel="0" collapsed="false">
      <c r="H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 customFormat="false" ht="14.25" hidden="false" customHeight="true" outlineLevel="0" collapsed="false">
      <c r="H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 customFormat="false" ht="14.25" hidden="false" customHeight="true" outlineLevel="0" collapsed="false">
      <c r="H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 customFormat="false" ht="14.25" hidden="false" customHeight="true" outlineLevel="0" collapsed="false">
      <c r="H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 customFormat="false" ht="14.25" hidden="false" customHeight="true" outlineLevel="0" collapsed="false">
      <c r="H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 customFormat="false" ht="14.25" hidden="false" customHeight="true" outlineLevel="0" collapsed="false">
      <c r="H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 customFormat="false" ht="14.25" hidden="false" customHeight="true" outlineLevel="0" collapsed="false">
      <c r="H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 customFormat="false" ht="14.25" hidden="false" customHeight="true" outlineLevel="0" collapsed="false">
      <c r="H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 customFormat="false" ht="14.25" hidden="false" customHeight="true" outlineLevel="0" collapsed="false">
      <c r="H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 customFormat="false" ht="14.25" hidden="false" customHeight="true" outlineLevel="0" collapsed="false">
      <c r="H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 customFormat="false" ht="14.25" hidden="false" customHeight="true" outlineLevel="0" collapsed="false">
      <c r="H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 customFormat="false" ht="14.25" hidden="false" customHeight="true" outlineLevel="0" collapsed="false">
      <c r="H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 customFormat="false" ht="14.25" hidden="false" customHeight="true" outlineLevel="0" collapsed="false">
      <c r="H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 customFormat="false" ht="14.25" hidden="false" customHeight="true" outlineLevel="0" collapsed="false">
      <c r="H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 customFormat="false" ht="14.25" hidden="false" customHeight="true" outlineLevel="0" collapsed="false">
      <c r="H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 customFormat="false" ht="14.25" hidden="false" customHeight="true" outlineLevel="0" collapsed="false">
      <c r="H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 customFormat="false" ht="14.25" hidden="false" customHeight="true" outlineLevel="0" collapsed="false">
      <c r="H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 customFormat="false" ht="14.25" hidden="false" customHeight="true" outlineLevel="0" collapsed="false">
      <c r="H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 customFormat="false" ht="14.25" hidden="false" customHeight="true" outlineLevel="0" collapsed="false">
      <c r="H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 customFormat="false" ht="14.25" hidden="false" customHeight="true" outlineLevel="0" collapsed="false">
      <c r="H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 customFormat="false" ht="14.25" hidden="false" customHeight="true" outlineLevel="0" collapsed="false">
      <c r="H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 customFormat="false" ht="14.25" hidden="false" customHeight="true" outlineLevel="0" collapsed="false">
      <c r="H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 customFormat="false" ht="14.25" hidden="false" customHeight="true" outlineLevel="0" collapsed="false">
      <c r="H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 customFormat="false" ht="14.25" hidden="false" customHeight="true" outlineLevel="0" collapsed="false">
      <c r="H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 customFormat="false" ht="14.25" hidden="false" customHeight="true" outlineLevel="0" collapsed="false">
      <c r="H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 customFormat="false" ht="14.25" hidden="false" customHeight="true" outlineLevel="0" collapsed="false">
      <c r="H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 customFormat="false" ht="14.25" hidden="false" customHeight="true" outlineLevel="0" collapsed="false">
      <c r="H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 customFormat="false" ht="14.25" hidden="false" customHeight="true" outlineLevel="0" collapsed="false">
      <c r="H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 customFormat="false" ht="14.25" hidden="false" customHeight="true" outlineLevel="0" collapsed="false">
      <c r="H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 customFormat="false" ht="14.25" hidden="false" customHeight="true" outlineLevel="0" collapsed="false">
      <c r="H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 customFormat="false" ht="14.25" hidden="false" customHeight="true" outlineLevel="0" collapsed="false">
      <c r="H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 customFormat="false" ht="14.25" hidden="false" customHeight="true" outlineLevel="0" collapsed="false">
      <c r="H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 customFormat="false" ht="14.25" hidden="false" customHeight="true" outlineLevel="0" collapsed="false">
      <c r="H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 customFormat="false" ht="14.25" hidden="false" customHeight="true" outlineLevel="0" collapsed="false">
      <c r="H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 customFormat="false" ht="14.25" hidden="false" customHeight="true" outlineLevel="0" collapsed="false">
      <c r="H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 customFormat="false" ht="14.25" hidden="false" customHeight="true" outlineLevel="0" collapsed="false">
      <c r="H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 customFormat="false" ht="14.25" hidden="false" customHeight="true" outlineLevel="0" collapsed="false">
      <c r="H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 customFormat="false" ht="14.25" hidden="false" customHeight="true" outlineLevel="0" collapsed="false">
      <c r="H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 customFormat="false" ht="14.25" hidden="false" customHeight="true" outlineLevel="0" collapsed="false">
      <c r="H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 customFormat="false" ht="14.25" hidden="false" customHeight="true" outlineLevel="0" collapsed="false">
      <c r="H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 customFormat="false" ht="14.25" hidden="false" customHeight="true" outlineLevel="0" collapsed="false">
      <c r="H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 customFormat="false" ht="14.25" hidden="false" customHeight="true" outlineLevel="0" collapsed="false">
      <c r="H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 customFormat="false" ht="14.25" hidden="false" customHeight="true" outlineLevel="0" collapsed="false">
      <c r="H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 customFormat="false" ht="14.25" hidden="false" customHeight="true" outlineLevel="0" collapsed="false">
      <c r="H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 customFormat="false" ht="14.25" hidden="false" customHeight="true" outlineLevel="0" collapsed="false">
      <c r="H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 customFormat="false" ht="14.25" hidden="false" customHeight="true" outlineLevel="0" collapsed="false">
      <c r="H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 customFormat="false" ht="14.25" hidden="false" customHeight="true" outlineLevel="0" collapsed="false">
      <c r="H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 customFormat="false" ht="14.25" hidden="false" customHeight="true" outlineLevel="0" collapsed="false">
      <c r="H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 customFormat="false" ht="14.25" hidden="false" customHeight="true" outlineLevel="0" collapsed="false">
      <c r="H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 customFormat="false" ht="14.25" hidden="false" customHeight="true" outlineLevel="0" collapsed="false">
      <c r="H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 customFormat="false" ht="14.25" hidden="false" customHeight="true" outlineLevel="0" collapsed="false">
      <c r="H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 customFormat="false" ht="14.25" hidden="false" customHeight="true" outlineLevel="0" collapsed="false">
      <c r="H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 customFormat="false" ht="14.25" hidden="false" customHeight="true" outlineLevel="0" collapsed="false">
      <c r="H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 customFormat="false" ht="14.25" hidden="false" customHeight="true" outlineLevel="0" collapsed="false">
      <c r="H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 customFormat="false" ht="14.25" hidden="false" customHeight="true" outlineLevel="0" collapsed="false">
      <c r="H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 customFormat="false" ht="14.25" hidden="false" customHeight="true" outlineLevel="0" collapsed="false">
      <c r="H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 customFormat="false" ht="14.25" hidden="false" customHeight="true" outlineLevel="0" collapsed="false">
      <c r="H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 customFormat="false" ht="14.25" hidden="false" customHeight="true" outlineLevel="0" collapsed="false">
      <c r="H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 customFormat="false" ht="14.25" hidden="false" customHeight="true" outlineLevel="0" collapsed="false">
      <c r="H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 customFormat="false" ht="14.25" hidden="false" customHeight="true" outlineLevel="0" collapsed="false">
      <c r="H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 customFormat="false" ht="14.25" hidden="false" customHeight="true" outlineLevel="0" collapsed="false">
      <c r="H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 customFormat="false" ht="14.25" hidden="false" customHeight="true" outlineLevel="0" collapsed="false">
      <c r="H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 customFormat="false" ht="14.25" hidden="false" customHeight="true" outlineLevel="0" collapsed="false">
      <c r="H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 customFormat="false" ht="14.25" hidden="false" customHeight="true" outlineLevel="0" collapsed="false">
      <c r="H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 customFormat="false" ht="14.25" hidden="false" customHeight="true" outlineLevel="0" collapsed="false">
      <c r="H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 customFormat="false" ht="14.25" hidden="false" customHeight="true" outlineLevel="0" collapsed="false">
      <c r="H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 customFormat="false" ht="14.25" hidden="false" customHeight="true" outlineLevel="0" collapsed="false">
      <c r="H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 customFormat="false" ht="14.25" hidden="false" customHeight="true" outlineLevel="0" collapsed="false">
      <c r="H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 customFormat="false" ht="14.25" hidden="false" customHeight="true" outlineLevel="0" collapsed="false">
      <c r="H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 customFormat="false" ht="14.25" hidden="false" customHeight="true" outlineLevel="0" collapsed="false">
      <c r="H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 customFormat="false" ht="14.25" hidden="false" customHeight="true" outlineLevel="0" collapsed="false">
      <c r="H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 customFormat="false" ht="14.25" hidden="false" customHeight="true" outlineLevel="0" collapsed="false">
      <c r="H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 customFormat="false" ht="14.25" hidden="false" customHeight="true" outlineLevel="0" collapsed="false">
      <c r="H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 customFormat="false" ht="14.25" hidden="false" customHeight="true" outlineLevel="0" collapsed="false">
      <c r="H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 customFormat="false" ht="14.25" hidden="false" customHeight="true" outlineLevel="0" collapsed="false">
      <c r="H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 customFormat="false" ht="14.25" hidden="false" customHeight="true" outlineLevel="0" collapsed="false">
      <c r="H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 customFormat="false" ht="14.25" hidden="false" customHeight="true" outlineLevel="0" collapsed="false">
      <c r="H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 customFormat="false" ht="14.25" hidden="false" customHeight="true" outlineLevel="0" collapsed="false">
      <c r="H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 customFormat="false" ht="14.25" hidden="false" customHeight="true" outlineLevel="0" collapsed="false">
      <c r="H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 customFormat="false" ht="14.25" hidden="false" customHeight="true" outlineLevel="0" collapsed="false">
      <c r="H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 customFormat="false" ht="14.25" hidden="false" customHeight="true" outlineLevel="0" collapsed="false">
      <c r="H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 customFormat="false" ht="14.25" hidden="false" customHeight="true" outlineLevel="0" collapsed="false">
      <c r="H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 customFormat="false" ht="14.25" hidden="false" customHeight="true" outlineLevel="0" collapsed="false">
      <c r="H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 customFormat="false" ht="14.25" hidden="false" customHeight="true" outlineLevel="0" collapsed="false">
      <c r="H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 customFormat="false" ht="14.25" hidden="false" customHeight="true" outlineLevel="0" collapsed="false">
      <c r="H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 customFormat="false" ht="14.25" hidden="false" customHeight="true" outlineLevel="0" collapsed="false">
      <c r="H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 customFormat="false" ht="14.25" hidden="false" customHeight="true" outlineLevel="0" collapsed="false">
      <c r="H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 customFormat="false" ht="14.25" hidden="false" customHeight="true" outlineLevel="0" collapsed="false">
      <c r="H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 customFormat="false" ht="14.25" hidden="false" customHeight="true" outlineLevel="0" collapsed="false">
      <c r="H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 customFormat="false" ht="14.25" hidden="false" customHeight="true" outlineLevel="0" collapsed="false">
      <c r="H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 customFormat="false" ht="14.25" hidden="false" customHeight="true" outlineLevel="0" collapsed="false">
      <c r="H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 customFormat="false" ht="14.25" hidden="false" customHeight="true" outlineLevel="0" collapsed="false">
      <c r="H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 customFormat="false" ht="14.25" hidden="false" customHeight="true" outlineLevel="0" collapsed="false">
      <c r="H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 customFormat="false" ht="14.25" hidden="false" customHeight="true" outlineLevel="0" collapsed="false">
      <c r="H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 customFormat="false" ht="14.25" hidden="false" customHeight="true" outlineLevel="0" collapsed="false">
      <c r="H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 customFormat="false" ht="14.25" hidden="false" customHeight="true" outlineLevel="0" collapsed="false">
      <c r="H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 customFormat="false" ht="14.25" hidden="false" customHeight="true" outlineLevel="0" collapsed="false">
      <c r="H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 customFormat="false" ht="14.25" hidden="false" customHeight="true" outlineLevel="0" collapsed="false">
      <c r="H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 customFormat="false" ht="14.25" hidden="false" customHeight="true" outlineLevel="0" collapsed="false">
      <c r="H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 customFormat="false" ht="14.25" hidden="false" customHeight="true" outlineLevel="0" collapsed="false">
      <c r="H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 customFormat="false" ht="14.25" hidden="false" customHeight="true" outlineLevel="0" collapsed="false">
      <c r="H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 customFormat="false" ht="14.25" hidden="false" customHeight="true" outlineLevel="0" collapsed="false">
      <c r="H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 customFormat="false" ht="14.25" hidden="false" customHeight="true" outlineLevel="0" collapsed="false">
      <c r="H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 customFormat="false" ht="14.25" hidden="false" customHeight="true" outlineLevel="0" collapsed="false">
      <c r="H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 customFormat="false" ht="14.25" hidden="false" customHeight="true" outlineLevel="0" collapsed="false">
      <c r="H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 customFormat="false" ht="14.25" hidden="false" customHeight="true" outlineLevel="0" collapsed="false">
      <c r="H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 customFormat="false" ht="14.25" hidden="false" customHeight="true" outlineLevel="0" collapsed="false">
      <c r="H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 customFormat="false" ht="14.25" hidden="false" customHeight="true" outlineLevel="0" collapsed="false">
      <c r="H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 customFormat="false" ht="14.25" hidden="false" customHeight="true" outlineLevel="0" collapsed="false">
      <c r="H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 customFormat="false" ht="14.25" hidden="false" customHeight="true" outlineLevel="0" collapsed="false">
      <c r="H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 customFormat="false" ht="14.25" hidden="false" customHeight="true" outlineLevel="0" collapsed="false">
      <c r="H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 customFormat="false" ht="14.25" hidden="false" customHeight="true" outlineLevel="0" collapsed="false">
      <c r="H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 customFormat="false" ht="14.25" hidden="false" customHeight="true" outlineLevel="0" collapsed="false">
      <c r="H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 customFormat="false" ht="14.25" hidden="false" customHeight="true" outlineLevel="0" collapsed="false">
      <c r="H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 customFormat="false" ht="14.25" hidden="false" customHeight="true" outlineLevel="0" collapsed="false">
      <c r="H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 customFormat="false" ht="14.25" hidden="false" customHeight="true" outlineLevel="0" collapsed="false">
      <c r="H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 customFormat="false" ht="14.25" hidden="false" customHeight="true" outlineLevel="0" collapsed="false">
      <c r="H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 customFormat="false" ht="14.25" hidden="false" customHeight="true" outlineLevel="0" collapsed="false">
      <c r="H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 customFormat="false" ht="14.25" hidden="false" customHeight="true" outlineLevel="0" collapsed="false">
      <c r="H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 customFormat="false" ht="14.25" hidden="false" customHeight="true" outlineLevel="0" collapsed="false">
      <c r="H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 customFormat="false" ht="14.25" hidden="false" customHeight="true" outlineLevel="0" collapsed="false">
      <c r="H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 customFormat="false" ht="14.25" hidden="false" customHeight="true" outlineLevel="0" collapsed="false">
      <c r="H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 customFormat="false" ht="14.25" hidden="false" customHeight="true" outlineLevel="0" collapsed="false">
      <c r="H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 customFormat="false" ht="14.25" hidden="false" customHeight="true" outlineLevel="0" collapsed="false">
      <c r="H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 customFormat="false" ht="14.25" hidden="false" customHeight="true" outlineLevel="0" collapsed="false">
      <c r="H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 customFormat="false" ht="14.25" hidden="false" customHeight="true" outlineLevel="0" collapsed="false">
      <c r="H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 customFormat="false" ht="14.25" hidden="false" customHeight="true" outlineLevel="0" collapsed="false">
      <c r="H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 customFormat="false" ht="14.25" hidden="false" customHeight="true" outlineLevel="0" collapsed="false">
      <c r="H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 customFormat="false" ht="14.25" hidden="false" customHeight="true" outlineLevel="0" collapsed="false">
      <c r="H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 customFormat="false" ht="14.25" hidden="false" customHeight="true" outlineLevel="0" collapsed="false">
      <c r="H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 customFormat="false" ht="14.25" hidden="false" customHeight="true" outlineLevel="0" collapsed="false">
      <c r="H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 customFormat="false" ht="14.25" hidden="false" customHeight="true" outlineLevel="0" collapsed="false">
      <c r="H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 customFormat="false" ht="14.25" hidden="false" customHeight="true" outlineLevel="0" collapsed="false">
      <c r="H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 customFormat="false" ht="14.25" hidden="false" customHeight="true" outlineLevel="0" collapsed="false">
      <c r="H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 customFormat="false" ht="14.25" hidden="false" customHeight="true" outlineLevel="0" collapsed="false">
      <c r="H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 customFormat="false" ht="14.25" hidden="false" customHeight="true" outlineLevel="0" collapsed="false">
      <c r="H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 customFormat="false" ht="14.25" hidden="false" customHeight="true" outlineLevel="0" collapsed="false">
      <c r="H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 customFormat="false" ht="14.25" hidden="false" customHeight="true" outlineLevel="0" collapsed="false">
      <c r="H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 customFormat="false" ht="14.25" hidden="false" customHeight="true" outlineLevel="0" collapsed="false">
      <c r="H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 customFormat="false" ht="14.25" hidden="false" customHeight="true" outlineLevel="0" collapsed="false">
      <c r="H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 customFormat="false" ht="14.25" hidden="false" customHeight="true" outlineLevel="0" collapsed="false">
      <c r="H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 customFormat="false" ht="14.25" hidden="false" customHeight="true" outlineLevel="0" collapsed="false">
      <c r="H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 customFormat="false" ht="14.25" hidden="false" customHeight="true" outlineLevel="0" collapsed="false">
      <c r="H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 customFormat="false" ht="14.25" hidden="false" customHeight="true" outlineLevel="0" collapsed="false">
      <c r="H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 customFormat="false" ht="14.25" hidden="false" customHeight="true" outlineLevel="0" collapsed="false">
      <c r="H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 customFormat="false" ht="14.25" hidden="false" customHeight="true" outlineLevel="0" collapsed="false">
      <c r="H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 customFormat="false" ht="14.25" hidden="false" customHeight="true" outlineLevel="0" collapsed="false">
      <c r="H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 customFormat="false" ht="14.25" hidden="false" customHeight="true" outlineLevel="0" collapsed="false">
      <c r="H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 customFormat="false" ht="14.25" hidden="false" customHeight="true" outlineLevel="0" collapsed="false">
      <c r="H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 customFormat="false" ht="14.25" hidden="false" customHeight="true" outlineLevel="0" collapsed="false">
      <c r="H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 customFormat="false" ht="14.25" hidden="false" customHeight="true" outlineLevel="0" collapsed="false">
      <c r="H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 customFormat="false" ht="14.25" hidden="false" customHeight="true" outlineLevel="0" collapsed="false">
      <c r="H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 customFormat="false" ht="14.25" hidden="false" customHeight="true" outlineLevel="0" collapsed="false">
      <c r="H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 customFormat="false" ht="14.25" hidden="false" customHeight="true" outlineLevel="0" collapsed="false">
      <c r="H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 customFormat="false" ht="14.25" hidden="false" customHeight="true" outlineLevel="0" collapsed="false">
      <c r="H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 customFormat="false" ht="14.25" hidden="false" customHeight="true" outlineLevel="0" collapsed="false">
      <c r="H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 customFormat="false" ht="14.25" hidden="false" customHeight="true" outlineLevel="0" collapsed="false">
      <c r="H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 customFormat="false" ht="14.25" hidden="false" customHeight="true" outlineLevel="0" collapsed="false">
      <c r="H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 customFormat="false" ht="14.25" hidden="false" customHeight="true" outlineLevel="0" collapsed="false">
      <c r="H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 customFormat="false" ht="14.25" hidden="false" customHeight="true" outlineLevel="0" collapsed="false">
      <c r="H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 customFormat="false" ht="14.25" hidden="false" customHeight="true" outlineLevel="0" collapsed="false">
      <c r="H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 customFormat="false" ht="14.25" hidden="false" customHeight="true" outlineLevel="0" collapsed="false">
      <c r="H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 customFormat="false" ht="14.25" hidden="false" customHeight="true" outlineLevel="0" collapsed="false">
      <c r="H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</sheetData>
  <conditionalFormatting sqref="AH2:AH1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1:AI12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2026-09-16T16:46:05Z</dcterms:created>
  <dc:creator/>
  <dc:description/>
  <dc:language>en-US</dc:language>
  <cp:lastModifiedBy>Fernando Nuñez</cp:lastModifiedBy>
  <dcterms:modified xsi:type="dcterms:W3CDTF">2026-10-16T16:25:14Z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0x010100B7CD69B11D4F3F4999743D2D1A60E108</vt:lpwstr>
  </property>
  <property fmtid="{D5CDD505-2E9C-101B-9397-08002B2CF9AE}" pid="3" name="MediaServiceImageTags">
    <vt:lpwstr/>
  </property>
</Properties>
</file>